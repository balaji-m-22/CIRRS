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1 Backlog" sheetId="2" state="visible" r:id="rId4"/>
    <sheet name="Sprint 2 Backlog" sheetId="3" state="visible" r:id="rId5"/>
    <sheet name="Sprint 3 Backlog" sheetId="4" state="visible" r:id="rId6"/>
    <sheet name="Summary" sheetId="5" state="visible" r:id="rId7"/>
    <sheet name="Data" sheetId="6" state="hidden" r:id="rId8"/>
  </sheets>
  <definedNames>
    <definedName function="false" hidden="true" localSheetId="0" name="_xlnm._FilterDatabase" vbProcedure="false">'Product Backlog'!$A$1:$L$46</definedName>
    <definedName function="false" hidden="true" localSheetId="1" name="_xlnm._FilterDatabase" vbProcedure="false">'Sprint 1 Backlog'!$A$1:$H$55</definedName>
    <definedName function="false" hidden="true" localSheetId="2" name="_xlnm._FilterDatabase" vbProcedure="false">'Sprint 2 Backlog'!$A$1:$H$42</definedName>
    <definedName function="false" hidden="true" localSheetId="3" name="_xlnm._FilterDatabase" vbProcedure="false">'Sprint 3 Backlog'!$A$1:$H$19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<sst xmlns="http://schemas.openxmlformats.org/spreadsheetml/2006/main" count="1971" uniqueCount="347">
  <si>
    <t xml:space="preserve">Key</t>
  </si>
  <si>
    <t xml:space="preserve">Type</t>
  </si>
  <si>
    <t xml:space="preserve">Parent Epic</t>
  </si>
  <si>
    <t xml:space="preserve">Summary</t>
  </si>
  <si>
    <t xml:space="preserve">Story Points</t>
  </si>
  <si>
    <t xml:space="preserve">Priority</t>
  </si>
  <si>
    <t xml:space="preserve">Status</t>
  </si>
  <si>
    <t xml:space="preserve">Sprint</t>
  </si>
  <si>
    <t xml:space="preserve">Label</t>
  </si>
  <si>
    <t xml:space="preserve">Component(s)</t>
  </si>
  <si>
    <t xml:space="preserve">Fix Version</t>
  </si>
  <si>
    <t xml:space="preserve">Assignee</t>
  </si>
  <si>
    <t xml:space="preserve">CIRRS-1</t>
  </si>
  <si>
    <t xml:space="preserve">Epic</t>
  </si>
  <si>
    <t xml:space="preserve">User Management &amp; Authentication</t>
  </si>
  <si>
    <t xml:space="preserve">Medium</t>
  </si>
  <si>
    <t xml:space="preserve">To Do</t>
  </si>
  <si>
    <t xml:space="preserve">Backlog</t>
  </si>
  <si>
    <t xml:space="preserve">User-Admin</t>
  </si>
  <si>
    <t xml:space="preserve">Backend-API, Database</t>
  </si>
  <si>
    <t xml:space="preserve">Version 1.0</t>
  </si>
  <si>
    <t xml:space="preserve">Anish K V</t>
  </si>
  <si>
    <t xml:space="preserve">CIRRS-2</t>
  </si>
  <si>
    <t xml:space="preserve">Citizen Issue Reporting</t>
  </si>
  <si>
    <t xml:space="preserve">Citizen</t>
  </si>
  <si>
    <t xml:space="preserve">Backend-API, Mobile-App</t>
  </si>
  <si>
    <t xml:space="preserve">CIRRS-3</t>
  </si>
  <si>
    <t xml:space="preserve">Municipal Triage &amp; Verification</t>
  </si>
  <si>
    <t xml:space="preserve">Staff</t>
  </si>
  <si>
    <t xml:space="preserve">Backend-API, Web-Portal</t>
  </si>
  <si>
    <t xml:space="preserve">Version 2.0</t>
  </si>
  <si>
    <t xml:space="preserve">Balaji M</t>
  </si>
  <si>
    <t xml:space="preserve">CIRRS-4</t>
  </si>
  <si>
    <t xml:space="preserve">Department Assignment &amp; Resolution</t>
  </si>
  <si>
    <t xml:space="preserve">Officer</t>
  </si>
  <si>
    <t xml:space="preserve">CIRRS-5</t>
  </si>
  <si>
    <t xml:space="preserve">Notifications &amp; Status Tracking</t>
  </si>
  <si>
    <t xml:space="preserve">Notification</t>
  </si>
  <si>
    <t xml:space="preserve">Mobile-App, Notification-Service</t>
  </si>
  <si>
    <t xml:space="preserve">Version 3.0</t>
  </si>
  <si>
    <t xml:space="preserve">CIRRS-6</t>
  </si>
  <si>
    <t xml:space="preserve">Admin Dashboard &amp; Reporting</t>
  </si>
  <si>
    <t xml:space="preserve">Admin</t>
  </si>
  <si>
    <t xml:space="preserve">Database, Web-Portal</t>
  </si>
  <si>
    <t xml:space="preserve">CIRRS-7</t>
  </si>
  <si>
    <t xml:space="preserve">Story</t>
  </si>
  <si>
    <t xml:space="preserve">CIRRS-1 - User Management &amp; Authentication</t>
  </si>
  <si>
    <t xml:space="preserve">As a citizen, I want to register with my phone number and email, so that I can start reporting civic issues in my area.</t>
  </si>
  <si>
    <t xml:space="preserve">High</t>
  </si>
  <si>
    <t xml:space="preserve">Done</t>
  </si>
  <si>
    <t xml:space="preserve">Sprint 1</t>
  </si>
  <si>
    <t xml:space="preserve">CIRRS-8</t>
  </si>
  <si>
    <t xml:space="preserve">As a registered user, I want to log in securely with my credentials, so that I can access my account and reports.</t>
  </si>
  <si>
    <t xml:space="preserve">CIRRS-9</t>
  </si>
  <si>
    <t xml:space="preserve">As a user, I want to reset my password when I forget it, so that I can regain access to my account.</t>
  </si>
  <si>
    <t xml:space="preserve">Backend-API, Notification-Service</t>
  </si>
  <si>
    <t xml:space="preserve">CIRRS-10</t>
  </si>
  <si>
    <t xml:space="preserve">As a user, I want to view and update my profile details, so that my contact information stays current.</t>
  </si>
  <si>
    <t xml:space="preserve">Low</t>
  </si>
  <si>
    <t xml:space="preserve">Sprint 2</t>
  </si>
  <si>
    <t xml:space="preserve">CIRRS-11</t>
  </si>
  <si>
    <t xml:space="preserve">As an administrator, I want role-based access control for citizens, staff and officers, so that each user only sees what they are permitted to.</t>
  </si>
  <si>
    <t xml:space="preserve">CIRRS-12</t>
  </si>
  <si>
    <t xml:space="preserve">CIRRS-2 - Citizen Issue Reporting</t>
  </si>
  <si>
    <t xml:space="preserve">As a citizen, I want to capture a photo of a civic issue from within the app, so that I can provide visual evidence of the problem.</t>
  </si>
  <si>
    <t xml:space="preserve">Mobile-App</t>
  </si>
  <si>
    <t xml:space="preserve">CIRRS-13</t>
  </si>
  <si>
    <t xml:space="preserve">As a citizen, I want the app to auto-detect my GPS location when I report an issue, so that the issue is geotagged accurately.</t>
  </si>
  <si>
    <t xml:space="preserve">In Progress</t>
  </si>
  <si>
    <t xml:space="preserve">CIRRS-14</t>
  </si>
  <si>
    <t xml:space="preserve">As a citizen, I want to select a category for my issue, so that it reaches the correct department faster.</t>
  </si>
  <si>
    <t xml:space="preserve">Database, Mobile-App</t>
  </si>
  <si>
    <t xml:space="preserve">CIRRS-15</t>
  </si>
  <si>
    <t xml:space="preserve">As a citizen, I want to add a text description to my report, so that I can explain details the photo does not show.</t>
  </si>
  <si>
    <t xml:space="preserve">CIRRS-16</t>
  </si>
  <si>
    <t xml:space="preserve">As a citizen, I want to submit my report and receive a reference ID, so that I can track its progress later.</t>
  </si>
  <si>
    <t xml:space="preserve">In Review</t>
  </si>
  <si>
    <t xml:space="preserve">Backend-API, Database, Mobile-App</t>
  </si>
  <si>
    <t xml:space="preserve">CIRRS-17</t>
  </si>
  <si>
    <t xml:space="preserve">As a citizen, I want to see validation errors before submitting, so that I can correct an incomplete report.</t>
  </si>
  <si>
    <t xml:space="preserve">CIRRS-18</t>
  </si>
  <si>
    <t xml:space="preserve">CIRRS-3 - Municipal Triage &amp; Verification</t>
  </si>
  <si>
    <t xml:space="preserve">As municipal staff, I want to see a queue of newly submitted reports, so that I can review them promptly.</t>
  </si>
  <si>
    <t xml:space="preserve">CIRRS-19</t>
  </si>
  <si>
    <t xml:space="preserve">As municipal staff, I want to verify a report against its photo and location, so that I can confirm it is genuine.</t>
  </si>
  <si>
    <t xml:space="preserve">Web-Portal</t>
  </si>
  <si>
    <t xml:space="preserve">CIRRS-20</t>
  </si>
  <si>
    <t xml:space="preserve">As municipal staff, I want to reject fake or duplicate reports with a reason, so that departments are not burdened with invalid work.</t>
  </si>
  <si>
    <t xml:space="preserve">Notification-Service, Web-Portal</t>
  </si>
  <si>
    <t xml:space="preserve">CIRRS-21</t>
  </si>
  <si>
    <t xml:space="preserve">As municipal staff, I want to assign a verified report to the correct department, so that the right team resolves it.</t>
  </si>
  <si>
    <t xml:space="preserve">CIRRS-22</t>
  </si>
  <si>
    <t xml:space="preserve">As municipal staff, I want to set a priority on each report, so that urgent hazards are handled first.</t>
  </si>
  <si>
    <t xml:space="preserve">CIRRS-23</t>
  </si>
  <si>
    <t xml:space="preserve">CIRRS-4 - Department Assignment &amp; Resolution</t>
  </si>
  <si>
    <t xml:space="preserve">As a department officer, I want to view all issues assigned to my department, so that I can plan my field work.</t>
  </si>
  <si>
    <t xml:space="preserve">CIRRS-24</t>
  </si>
  <si>
    <t xml:space="preserve">As a department officer, I want to accept an assigned task, so that the citizen knows work has begun.</t>
  </si>
  <si>
    <t xml:space="preserve">CIRRS-25</t>
  </si>
  <si>
    <t xml:space="preserve">As a department officer, I want to update work progress on an issue, so that the status stays accurate.</t>
  </si>
  <si>
    <t xml:space="preserve">CIRRS-26</t>
  </si>
  <si>
    <t xml:space="preserve">As a department officer, I want to upload a resolution photo as proof of completion, so that the citizen can see the issue was fixed.</t>
  </si>
  <si>
    <t xml:space="preserve">Sprint 3</t>
  </si>
  <si>
    <t xml:space="preserve">CIRRS-27</t>
  </si>
  <si>
    <t xml:space="preserve">As a department officer, I want to reassign an issue to another department, so that misrouted issues reach the right team.</t>
  </si>
  <si>
    <t xml:space="preserve">CIRRS-28</t>
  </si>
  <si>
    <t xml:space="preserve">CIRRS-5 - Notifications &amp; Status Tracking</t>
  </si>
  <si>
    <t xml:space="preserve">As a citizen, I want to receive a notification when my report status changes, so that I stay informed without checking the app.</t>
  </si>
  <si>
    <t xml:space="preserve">CIRRS-29</t>
  </si>
  <si>
    <t xml:space="preserve">As a citizen, I want to track the current status of my report in the app, so that I know what stage it is at.</t>
  </si>
  <si>
    <t xml:space="preserve">CIRRS-30</t>
  </si>
  <si>
    <t xml:space="preserve">As a citizen, I want to view the resolution proof photo, so that I can confirm the issue was actually fixed.</t>
  </si>
  <si>
    <t xml:space="preserve">CIRRS-31</t>
  </si>
  <si>
    <t xml:space="preserve">As a citizen, I want to reopen a resolved issue if the problem persists, so that it gets proper attention.</t>
  </si>
  <si>
    <t xml:space="preserve">CIRRS-32</t>
  </si>
  <si>
    <t xml:space="preserve">CIRRS-6 - Admin Dashboard &amp; Reporting</t>
  </si>
  <si>
    <t xml:space="preserve">As an administrator, I want to manage departments and their officers, so that routing rules stay accurate.</t>
  </si>
  <si>
    <t xml:space="preserve">CIRRS-33</t>
  </si>
  <si>
    <t xml:space="preserve">As an administrator, I want to manage user accounts and deactivate abusive reporters, so that the platform stays trustworthy.</t>
  </si>
  <si>
    <t xml:space="preserve">CIRRS-34</t>
  </si>
  <si>
    <t xml:space="preserve">As an administrator, I want to generate reports on issue volume and resolution time, so that I can measure departmental performance.</t>
  </si>
  <si>
    <t xml:space="preserve">CIRRS-35</t>
  </si>
  <si>
    <t xml:space="preserve">As an administrator, I want to monitor a live map of open issues, so that I can spot problem hotspots in the city.</t>
  </si>
  <si>
    <t xml:space="preserve">CIRRS-36</t>
  </si>
  <si>
    <t xml:space="preserve">Task</t>
  </si>
  <si>
    <t xml:space="preserve">Set up Git repository, branching strategy and CI pipeline</t>
  </si>
  <si>
    <t xml:space="preserve">Technical-Task</t>
  </si>
  <si>
    <t xml:space="preserve">Backend-API</t>
  </si>
  <si>
    <t xml:space="preserve">CIRRS-37</t>
  </si>
  <si>
    <t xml:space="preserve">Design the database schema for users, issues, departments and resolutions</t>
  </si>
  <si>
    <t xml:space="preserve">Database</t>
  </si>
  <si>
    <t xml:space="preserve">CIRRS-38</t>
  </si>
  <si>
    <t xml:space="preserve">Prepare UI/UX wireframes for the citizen mobile app</t>
  </si>
  <si>
    <t xml:space="preserve">CIRRS-39</t>
  </si>
  <si>
    <t xml:space="preserve">Register and configure GPS / Map service API keys and quotas</t>
  </si>
  <si>
    <t xml:space="preserve">CIRRS-40</t>
  </si>
  <si>
    <t xml:space="preserve">Write the system test plan and acceptance criteria checklist</t>
  </si>
  <si>
    <t xml:space="preserve">CIRRS-41</t>
  </si>
  <si>
    <t xml:space="preserve">Prepare the user training guide for municipal staff and officers</t>
  </si>
  <si>
    <t xml:space="preserve">CIRRS-42</t>
  </si>
  <si>
    <t xml:space="preserve">Bug</t>
  </si>
  <si>
    <t xml:space="preserve">BUG: GPS coordinates drift by up to 200 m when a report is created indoors</t>
  </si>
  <si>
    <t xml:space="preserve">Defect</t>
  </si>
  <si>
    <t xml:space="preserve">CIRRS-43</t>
  </si>
  <si>
    <t xml:space="preserve">BUG: Photo upload fails silently when the image is larger than 5 MB</t>
  </si>
  <si>
    <t xml:space="preserve">CIRRS-44</t>
  </si>
  <si>
    <t xml:space="preserve">BUG: Status-change notification is delivered twice when an officer updates progress rapidly</t>
  </si>
  <si>
    <t xml:space="preserve">Notification-Service</t>
  </si>
  <si>
    <t xml:space="preserve">CIRRS-45</t>
  </si>
  <si>
    <t xml:space="preserve">BUG: Rejected reports still appear in the department officer queue</t>
  </si>
  <si>
    <t xml:space="preserve">Parent</t>
  </si>
  <si>
    <t xml:space="preserve">CIRRS-46</t>
  </si>
  <si>
    <t xml:space="preserve">Sub-task</t>
  </si>
  <si>
    <t xml:space="preserve">CIRRS-7 - As a citizen, I want to register with my phone number and email, so that I can start reporting civic issues in my area.</t>
  </si>
  <si>
    <t xml:space="preserve">Design the registration screen mockup and field validation rules</t>
  </si>
  <si>
    <t xml:space="preserve">CIRRS-47</t>
  </si>
  <si>
    <t xml:space="preserve">Write the technical implementation strategy for OTP verification</t>
  </si>
  <si>
    <t xml:space="preserve">CIRRS-48</t>
  </si>
  <si>
    <t xml:space="preserve">Create the registration user interface layout in the mobile app</t>
  </si>
  <si>
    <t xml:space="preserve">CIRRS-49</t>
  </si>
  <si>
    <t xml:space="preserve">Write unit tests and code for the registration API endpoint</t>
  </si>
  <si>
    <t xml:space="preserve">CIRRS-50</t>
  </si>
  <si>
    <t xml:space="preserve">Integrate the SMS gateway for OTP delivery</t>
  </si>
  <si>
    <t xml:space="preserve">CIRRS-51</t>
  </si>
  <si>
    <t xml:space="preserve">Write and run acceptance tests for the registration flow</t>
  </si>
  <si>
    <t xml:space="preserve">CIRRS-52</t>
  </si>
  <si>
    <t xml:space="preserve">CIRRS-8 - As a registered user, I want to log in securely with my credentials, so that I can access my account and reports.</t>
  </si>
  <si>
    <t xml:space="preserve">Design the login screen mockup</t>
  </si>
  <si>
    <t xml:space="preserve">CIRRS-53</t>
  </si>
  <si>
    <t xml:space="preserve">Implement JWT session token issue and refresh on the back end</t>
  </si>
  <si>
    <t xml:space="preserve">CIRRS-54</t>
  </si>
  <si>
    <t xml:space="preserve">Write unit tests and code for the login API endpoint</t>
  </si>
  <si>
    <t xml:space="preserve">CIRRS-55</t>
  </si>
  <si>
    <t xml:space="preserve">Implement account lockout after five failed attempts</t>
  </si>
  <si>
    <t xml:space="preserve">CIRRS-56</t>
  </si>
  <si>
    <t xml:space="preserve">Write and run acceptance tests for the login flow</t>
  </si>
  <si>
    <t xml:space="preserve">CIRRS-57</t>
  </si>
  <si>
    <t xml:space="preserve">CIRRS-9 - As a user, I want to reset my password when I forget it, so that I can regain access to my account.</t>
  </si>
  <si>
    <t xml:space="preserve">Design the forgot-password and reset password screens</t>
  </si>
  <si>
    <t xml:space="preserve">CIRRS-58</t>
  </si>
  <si>
    <t xml:space="preserve">Implement time-limited reset token generation and expiry</t>
  </si>
  <si>
    <t xml:space="preserve">CIRRS-59</t>
  </si>
  <si>
    <t xml:space="preserve">Build the password-reset email template</t>
  </si>
  <si>
    <t xml:space="preserve">CIRRS-60</t>
  </si>
  <si>
    <t xml:space="preserve">Write unit tests and code for the reset endpoints</t>
  </si>
  <si>
    <t xml:space="preserve">CIRRS-61</t>
  </si>
  <si>
    <t xml:space="preserve">Write and run acceptance tests for password reset</t>
  </si>
  <si>
    <t xml:space="preserve">CIRRS-62</t>
  </si>
  <si>
    <t xml:space="preserve">CIRRS-12 - As a citizen, I want to capture a photo of a civic issue from within the app, so that I can provide visual evidence of the problem.</t>
  </si>
  <si>
    <t xml:space="preserve">Create the camera and gallery picker user interface layout</t>
  </si>
  <si>
    <t xml:space="preserve">CIRRS-63</t>
  </si>
  <si>
    <t xml:space="preserve">Implement runtime camera permission handling</t>
  </si>
  <si>
    <t xml:space="preserve">CIRRS-64</t>
  </si>
  <si>
    <t xml:space="preserve">Implement client-side image compression to under 2 MB</t>
  </si>
  <si>
    <t xml:space="preserve">CIRRS-65</t>
  </si>
  <si>
    <t xml:space="preserve">Write unit tests for the photo attachment component</t>
  </si>
  <si>
    <t xml:space="preserve">CIRRS-66</t>
  </si>
  <si>
    <t xml:space="preserve">Run acceptance tests for photo capture on Android and iOS</t>
  </si>
  <si>
    <t xml:space="preserve">CIRRS-67</t>
  </si>
  <si>
    <t xml:space="preserve">CIRRS-13 - As a citizen, I want the app to auto-detect my GPS location when I report an issue, so that the issue is geotagged accurately.</t>
  </si>
  <si>
    <t xml:space="preserve">Write the technical implementation strategy for GPS capture and reverse geocoding</t>
  </si>
  <si>
    <t xml:space="preserve">CIRRS-68</t>
  </si>
  <si>
    <t xml:space="preserve">Implement runtime location permission handling with a rationale dialog</t>
  </si>
  <si>
    <t xml:space="preserve">CIRRS-69</t>
  </si>
  <si>
    <t xml:space="preserve">Integrate the map SDK and the draggable confirmation pin</t>
  </si>
  <si>
    <t xml:space="preserve">CIRRS-70</t>
  </si>
  <si>
    <t xml:space="preserve">Implement reverse geocoding to a human-readable address</t>
  </si>
  <si>
    <t xml:space="preserve">CIRRS-71</t>
  </si>
  <si>
    <t xml:space="preserve">Handle GPS-unavailable and permission-denied states</t>
  </si>
  <si>
    <t xml:space="preserve">CIRRS-72</t>
  </si>
  <si>
    <t xml:space="preserve">Write and run acceptance tests for location capture accuracy</t>
  </si>
  <si>
    <t xml:space="preserve">CIRRS-73</t>
  </si>
  <si>
    <t xml:space="preserve">CIRRS-14 - As a citizen, I want to select a category for my issue, so that it reaches the correct department faster.</t>
  </si>
  <si>
    <t xml:space="preserve">Create the category master table and seed the initial data</t>
  </si>
  <si>
    <t xml:space="preserve">CIRRS-74</t>
  </si>
  <si>
    <t xml:space="preserve">Build the category list API endpoint</t>
  </si>
  <si>
    <t xml:space="preserve">CIRRS-75</t>
  </si>
  <si>
    <t xml:space="preserve">Create the category selection user interface layout</t>
  </si>
  <si>
    <t xml:space="preserve">CIRRS-76</t>
  </si>
  <si>
    <t xml:space="preserve">Write unit tests for the category-to-department mapping</t>
  </si>
  <si>
    <t xml:space="preserve">CIRRS-77</t>
  </si>
  <si>
    <t xml:space="preserve">CIRRS-15 - As a citizen, I want to add a text description to my report, so that I can explain details the photo does not show.</t>
  </si>
  <si>
    <t xml:space="preserve">Create the description input layout with a live character counter</t>
  </si>
  <si>
    <t xml:space="preserve">CIRRS-78</t>
  </si>
  <si>
    <t xml:space="preserve">Implement trimming and 500-character server-side validation</t>
  </si>
  <si>
    <t xml:space="preserve">CIRRS-79</t>
  </si>
  <si>
    <t xml:space="preserve">Integrate the profanity flagging check</t>
  </si>
  <si>
    <t xml:space="preserve">CIRRS-80</t>
  </si>
  <si>
    <t xml:space="preserve">Write unit tests for description validation</t>
  </si>
  <si>
    <t xml:space="preserve">CIRRS-81</t>
  </si>
  <si>
    <t xml:space="preserve">CIRRS-16 - As a citizen, I want to submit my report and receive a reference ID, so that I can track its progress later.</t>
  </si>
  <si>
    <t xml:space="preserve">Design the submission confirmation screen mockup</t>
  </si>
  <si>
    <t xml:space="preserve">CIRRS-82</t>
  </si>
  <si>
    <t xml:space="preserve">Implement the transactional report-creation API endpoint</t>
  </si>
  <si>
    <t xml:space="preserve">CIRRS-83</t>
  </si>
  <si>
    <t xml:space="preserve">Implement reference ID generation and uniqueness check</t>
  </si>
  <si>
    <t xml:space="preserve">CIRRS-84</t>
  </si>
  <si>
    <t xml:space="preserve">Build the offline submission queue and retry mechanism</t>
  </si>
  <si>
    <t xml:space="preserve">CIRRS-85</t>
  </si>
  <si>
    <t xml:space="preserve">Write unit tests and code for the report persistence layer</t>
  </si>
  <si>
    <t xml:space="preserve">CIRRS-90</t>
  </si>
  <si>
    <t xml:space="preserve">Write and run acceptance tests for end-to-end submission</t>
  </si>
  <si>
    <t xml:space="preserve">CIRRS-86</t>
  </si>
  <si>
    <t xml:space="preserve">CIRRS-18 - As municipal staff, I want to see a queue of newly submitted reports, so that I can review them promptly.</t>
  </si>
  <si>
    <t xml:space="preserve">Build the new-report queue table view with photo thumbnails</t>
  </si>
  <si>
    <t xml:space="preserve">CIRRS-87</t>
  </si>
  <si>
    <t xml:space="preserve">Implement queue filtering by category, ward and date range</t>
  </si>
  <si>
    <t xml:space="preserve">CIRRS-88</t>
  </si>
  <si>
    <t xml:space="preserve">Implement pagination and 60-second auto-refresh</t>
  </si>
  <si>
    <t xml:space="preserve">CIRRS-89</t>
  </si>
  <si>
    <t xml:space="preserve">Write and run acceptance tests for the new-report queue</t>
  </si>
  <si>
    <t xml:space="preserve">CIRRS-105</t>
  </si>
  <si>
    <t xml:space="preserve">CIRRS-19 - As municipal staff, I want to verify a report against its photo and location, so that I can confirm it is genuine.</t>
  </si>
  <si>
    <t xml:space="preserve">Build the report detail view with full-size photo and map pin</t>
  </si>
  <si>
    <t xml:space="preserve">CIRRS-100</t>
  </si>
  <si>
    <t xml:space="preserve">Implement the 100 m duplicate-proximity query</t>
  </si>
  <si>
    <t xml:space="preserve">CIRRS-99</t>
  </si>
  <si>
    <t xml:space="preserve">Implement the Verify action and its status transition</t>
  </si>
  <si>
    <t xml:space="preserve">CIRRS-106</t>
  </si>
  <si>
    <t xml:space="preserve">Write and run acceptance tests for report verification</t>
  </si>
  <si>
    <t xml:space="preserve">CIRRS-91</t>
  </si>
  <si>
    <t xml:space="preserve">CIRRS-20 - As municipal staff, I want to reject fake or duplicate reports with a reason, so that departments are not burdened with invalid work.</t>
  </si>
  <si>
    <t xml:space="preserve">Create the rejection reason master list and seed data</t>
  </si>
  <si>
    <t xml:space="preserve">CIRRS-95</t>
  </si>
  <si>
    <t xml:space="preserve">Build the rejection dialog with reason and free-text note</t>
  </si>
  <si>
    <t xml:space="preserve">CIRRS-97</t>
  </si>
  <si>
    <t xml:space="preserve">Implement the Rejected transition and citizen notification</t>
  </si>
  <si>
    <t xml:space="preserve">CIRRS-98</t>
  </si>
  <si>
    <t xml:space="preserve">Write unit tests for excluding rejected reports from department queues</t>
  </si>
  <si>
    <t xml:space="preserve">CIRRS-93</t>
  </si>
  <si>
    <t xml:space="preserve">CIRRS-21 - As municipal staff, I want to assign a verified report to the correct department, so that the right team resolves it.</t>
  </si>
  <si>
    <t xml:space="preserve">Implement the category-to-department auto-suggestion rules</t>
  </si>
  <si>
    <t xml:space="preserve">CIRRS-108</t>
  </si>
  <si>
    <t xml:space="preserve">Build the department override selector in the web portal</t>
  </si>
  <si>
    <t xml:space="preserve">CIRRS-102</t>
  </si>
  <si>
    <t xml:space="preserve">Implement the assignment API and status transition</t>
  </si>
  <si>
    <t xml:space="preserve">CIRRS-96</t>
  </si>
  <si>
    <t xml:space="preserve">Record the assignment history against the report</t>
  </si>
  <si>
    <t xml:space="preserve">CIRRS-103</t>
  </si>
  <si>
    <t xml:space="preserve">CIRRS-22 - As municipal staff, I want to set a priority on each report, so that urgent hazards are handled first.</t>
  </si>
  <si>
    <t xml:space="preserve">Add the priority selector to the report detail view</t>
  </si>
  <si>
    <t xml:space="preserve">CIRRS-107</t>
  </si>
  <si>
    <t xml:space="preserve">Enforce a justification note when Critical priority is chosen</t>
  </si>
  <si>
    <t xml:space="preserve">CIRRS-109</t>
  </si>
  <si>
    <t xml:space="preserve">Implement department queue sorting by priority then age</t>
  </si>
  <si>
    <t xml:space="preserve">CIRRS-110</t>
  </si>
  <si>
    <t xml:space="preserve">Write priority change entries into the audit log</t>
  </si>
  <si>
    <t xml:space="preserve">CIRRS-111</t>
  </si>
  <si>
    <t xml:space="preserve">CIRRS-24 - As a department officer, I want to accept an assigned task, so that the citizen knows work has begun.</t>
  </si>
  <si>
    <t xml:space="preserve">Build the Accept action on the officer issue view</t>
  </si>
  <si>
    <t xml:space="preserve">CIRRS-112</t>
  </si>
  <si>
    <t xml:space="preserve">Implement the In Progress transition with officer attribution</t>
  </si>
  <si>
    <t xml:space="preserve">CIRRS-113</t>
  </si>
  <si>
    <t xml:space="preserve">Add the expected completion date field to the accept dialog</t>
  </si>
  <si>
    <t xml:space="preserve">CIRRS-114</t>
  </si>
  <si>
    <t xml:space="preserve">Implement the 48-hour unaccepted issue flag</t>
  </si>
  <si>
    <t xml:space="preserve">CIRRS-115</t>
  </si>
  <si>
    <t xml:space="preserve">CIRRS-25 - As a department officer, I want to update work progress on an issue, so that the status stays accurate.</t>
  </si>
  <si>
    <t xml:space="preserve">Build the progress note form with an optional photo attachment</t>
  </si>
  <si>
    <t xml:space="preserve">CIRRS-116</t>
  </si>
  <si>
    <t xml:space="preserve">Make progress notes immutable once saved</t>
  </si>
  <si>
    <t xml:space="preserve">CIRRS-117</t>
  </si>
  <si>
    <t xml:space="preserve">Surface the latest progress note in the citizen app</t>
  </si>
  <si>
    <t xml:space="preserve">CIRRS-118</t>
  </si>
  <si>
    <t xml:space="preserve">Write and run acceptance tests for progress updates</t>
  </si>
  <si>
    <t xml:space="preserve">CIRRS-101</t>
  </si>
  <si>
    <t xml:space="preserve">CIRRS-26 - As a department officer, I want to upload a resolution photo as proof of completion, so that the citizen can see the issue was fixed.</t>
  </si>
  <si>
    <t xml:space="preserve">Build the resolution photo upload interface for department officers</t>
  </si>
  <si>
    <t xml:space="preserve">CIRRS-94</t>
  </si>
  <si>
    <t xml:space="preserve">Implement resolution photo storage and completion-date capture</t>
  </si>
  <si>
    <t xml:space="preserve">CIRRS-104</t>
  </si>
  <si>
    <t xml:space="preserve">Implement the Resolved status transition and notification trigger</t>
  </si>
  <si>
    <t xml:space="preserve">CIRRS-92</t>
  </si>
  <si>
    <t xml:space="preserve">Write and run acceptance tests for the resolution flow</t>
  </si>
  <si>
    <t xml:space="preserve">CIRRS-119</t>
  </si>
  <si>
    <t xml:space="preserve">CIRRS-28 - As a citizen, I want to receive a notification when my report status changes, so that I stay informed without checking the app.</t>
  </si>
  <si>
    <t xml:space="preserve">Integrate the push notification provider SDK</t>
  </si>
  <si>
    <t xml:space="preserve">CIRRS-120</t>
  </si>
  <si>
    <t xml:space="preserve">Implement notification retry logic with a maximum of three attempts</t>
  </si>
  <si>
    <t xml:space="preserve">CIRRS-121</t>
  </si>
  <si>
    <t xml:space="preserve">Build the per-report notification mute setting</t>
  </si>
  <si>
    <t xml:space="preserve">Civic/Community Issue Reporting &amp; Routing System - Scrum Summary</t>
  </si>
  <si>
    <t xml:space="preserve">Jira project key</t>
  </si>
  <si>
    <t xml:space="preserve">CIRRS</t>
  </si>
  <si>
    <t xml:space="preserve">Jira site</t>
  </si>
  <si>
    <t xml:space="preserve">https://anlietyt.atlassian.net</t>
  </si>
  <si>
    <t xml:space="preserve">Board</t>
  </si>
  <si>
    <t xml:space="preserve">CIRRS board (Scrum, company-managed)</t>
  </si>
  <si>
    <t xml:space="preserve">Team</t>
  </si>
  <si>
    <t xml:space="preserve">Anish K V (CB.EN.U4CCE24005), Balaji M (CB.EN.U4CCE24010)</t>
  </si>
  <si>
    <t xml:space="preserve">Workflow</t>
  </si>
  <si>
    <t xml:space="preserve">To Do -&gt; In Progress -&gt; In Review -&gt; Done</t>
  </si>
  <si>
    <t xml:space="preserve">Work items by type</t>
  </si>
  <si>
    <t xml:space="preserve">Issue type</t>
  </si>
  <si>
    <t xml:space="preserve">Count</t>
  </si>
  <si>
    <t xml:space="preserve">Total</t>
  </si>
  <si>
    <t xml:space="preserve">Work items by status</t>
  </si>
  <si>
    <t xml:space="preserve">Sprint allocation and velocity</t>
  </si>
  <si>
    <t xml:space="preserve">Items</t>
  </si>
  <si>
    <t xml:space="preserve">Story points committed</t>
  </si>
  <si>
    <t xml:space="preserve">Points completed</t>
  </si>
  <si>
    <t xml:space="preserve">% points complete</t>
  </si>
  <si>
    <t xml:space="preserve">Workload by team member</t>
  </si>
  <si>
    <t xml:space="preserve">Items assigned</t>
  </si>
  <si>
    <t xml:space="preserve">Story points</t>
  </si>
  <si>
    <t xml:space="preserve">Note: all figures are live formulas over the Data sheet, which holds the export of every Jira work item in project CIRRS as at 30 Aug 2026.</t>
  </si>
  <si>
    <t xml:space="preserve">Points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</si>
</sst>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548235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  <fill>
      <patternFill patternType="solid">
        <fgColor rgb="FFBDD7EE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6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2" min="11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2"/>
      <c r="D2" s="4" t="s">
        <v>14</v>
      </c>
      <c r="E2" s="5"/>
      <c r="F2" s="2" t="s">
        <v>15</v>
      </c>
      <c r="G2" s="6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customFormat="false" ht="15" hidden="false" customHeight="false" outlineLevel="0" collapsed="false">
      <c r="A3" s="2" t="s">
        <v>22</v>
      </c>
      <c r="B3" s="3" t="s">
        <v>13</v>
      </c>
      <c r="C3" s="2"/>
      <c r="D3" s="4" t="s">
        <v>23</v>
      </c>
      <c r="E3" s="5"/>
      <c r="F3" s="2" t="s">
        <v>15</v>
      </c>
      <c r="G3" s="6" t="s">
        <v>16</v>
      </c>
      <c r="H3" s="2" t="s">
        <v>17</v>
      </c>
      <c r="I3" s="2" t="s">
        <v>24</v>
      </c>
      <c r="J3" s="2" t="s">
        <v>25</v>
      </c>
      <c r="K3" s="2" t="s">
        <v>20</v>
      </c>
      <c r="L3" s="2" t="s">
        <v>21</v>
      </c>
    </row>
    <row r="4" customFormat="false" ht="15" hidden="false" customHeight="false" outlineLevel="0" collapsed="false">
      <c r="A4" s="2" t="s">
        <v>26</v>
      </c>
      <c r="B4" s="3" t="s">
        <v>13</v>
      </c>
      <c r="C4" s="2"/>
      <c r="D4" s="4" t="s">
        <v>27</v>
      </c>
      <c r="E4" s="5"/>
      <c r="F4" s="2" t="s">
        <v>15</v>
      </c>
      <c r="G4" s="6" t="s">
        <v>16</v>
      </c>
      <c r="H4" s="2" t="s">
        <v>17</v>
      </c>
      <c r="I4" s="2" t="s">
        <v>28</v>
      </c>
      <c r="J4" s="2" t="s">
        <v>29</v>
      </c>
      <c r="K4" s="2" t="s">
        <v>30</v>
      </c>
      <c r="L4" s="2" t="s">
        <v>31</v>
      </c>
    </row>
    <row r="5" customFormat="false" ht="15" hidden="false" customHeight="false" outlineLevel="0" collapsed="false">
      <c r="A5" s="2" t="s">
        <v>32</v>
      </c>
      <c r="B5" s="3" t="s">
        <v>13</v>
      </c>
      <c r="C5" s="2"/>
      <c r="D5" s="4" t="s">
        <v>33</v>
      </c>
      <c r="E5" s="5"/>
      <c r="F5" s="2" t="s">
        <v>15</v>
      </c>
      <c r="G5" s="6" t="s">
        <v>16</v>
      </c>
      <c r="H5" s="2" t="s">
        <v>17</v>
      </c>
      <c r="I5" s="2" t="s">
        <v>34</v>
      </c>
      <c r="J5" s="2" t="s">
        <v>29</v>
      </c>
      <c r="K5" s="2" t="s">
        <v>30</v>
      </c>
      <c r="L5" s="2" t="s">
        <v>31</v>
      </c>
    </row>
    <row r="6" customFormat="false" ht="15" hidden="false" customHeight="false" outlineLevel="0" collapsed="false">
      <c r="A6" s="2" t="s">
        <v>35</v>
      </c>
      <c r="B6" s="3" t="s">
        <v>13</v>
      </c>
      <c r="C6" s="2"/>
      <c r="D6" s="4" t="s">
        <v>36</v>
      </c>
      <c r="E6" s="5"/>
      <c r="F6" s="2" t="s">
        <v>15</v>
      </c>
      <c r="G6" s="6" t="s">
        <v>16</v>
      </c>
      <c r="H6" s="2" t="s">
        <v>17</v>
      </c>
      <c r="I6" s="2" t="s">
        <v>37</v>
      </c>
      <c r="J6" s="2" t="s">
        <v>38</v>
      </c>
      <c r="K6" s="2" t="s">
        <v>39</v>
      </c>
      <c r="L6" s="2" t="s">
        <v>21</v>
      </c>
    </row>
    <row r="7" customFormat="false" ht="15" hidden="false" customHeight="false" outlineLevel="0" collapsed="false">
      <c r="A7" s="2" t="s">
        <v>40</v>
      </c>
      <c r="B7" s="3" t="s">
        <v>13</v>
      </c>
      <c r="C7" s="2"/>
      <c r="D7" s="4" t="s">
        <v>41</v>
      </c>
      <c r="E7" s="5"/>
      <c r="F7" s="2" t="s">
        <v>15</v>
      </c>
      <c r="G7" s="6" t="s">
        <v>16</v>
      </c>
      <c r="H7" s="2" t="s">
        <v>17</v>
      </c>
      <c r="I7" s="2" t="s">
        <v>42</v>
      </c>
      <c r="J7" s="2" t="s">
        <v>43</v>
      </c>
      <c r="K7" s="2" t="s">
        <v>39</v>
      </c>
      <c r="L7" s="2" t="s">
        <v>31</v>
      </c>
    </row>
    <row r="8" customFormat="false" ht="23.85" hidden="false" customHeight="false" outlineLevel="0" collapsed="false">
      <c r="A8" s="2" t="s">
        <v>44</v>
      </c>
      <c r="B8" s="7" t="s">
        <v>45</v>
      </c>
      <c r="C8" s="2" t="s">
        <v>46</v>
      </c>
      <c r="D8" s="4" t="s">
        <v>47</v>
      </c>
      <c r="E8" s="5" t="n">
        <v>5</v>
      </c>
      <c r="F8" s="2" t="s">
        <v>48</v>
      </c>
      <c r="G8" s="8" t="s">
        <v>49</v>
      </c>
      <c r="H8" s="2" t="s">
        <v>50</v>
      </c>
      <c r="I8" s="2" t="s">
        <v>18</v>
      </c>
      <c r="J8" s="2" t="s">
        <v>25</v>
      </c>
      <c r="K8" s="2" t="s">
        <v>20</v>
      </c>
      <c r="L8" s="2" t="s">
        <v>21</v>
      </c>
    </row>
    <row r="9" customFormat="false" ht="23.85" hidden="false" customHeight="false" outlineLevel="0" collapsed="false">
      <c r="A9" s="2" t="s">
        <v>51</v>
      </c>
      <c r="B9" s="7" t="s">
        <v>45</v>
      </c>
      <c r="C9" s="2" t="s">
        <v>46</v>
      </c>
      <c r="D9" s="4" t="s">
        <v>52</v>
      </c>
      <c r="E9" s="5" t="n">
        <v>3</v>
      </c>
      <c r="F9" s="2" t="s">
        <v>48</v>
      </c>
      <c r="G9" s="8" t="s">
        <v>49</v>
      </c>
      <c r="H9" s="2" t="s">
        <v>50</v>
      </c>
      <c r="I9" s="2" t="s">
        <v>18</v>
      </c>
      <c r="J9" s="2" t="s">
        <v>25</v>
      </c>
      <c r="K9" s="2" t="s">
        <v>20</v>
      </c>
      <c r="L9" s="2" t="s">
        <v>21</v>
      </c>
    </row>
    <row r="10" customFormat="false" ht="23.85" hidden="false" customHeight="false" outlineLevel="0" collapsed="false">
      <c r="A10" s="2" t="s">
        <v>53</v>
      </c>
      <c r="B10" s="7" t="s">
        <v>45</v>
      </c>
      <c r="C10" s="2" t="s">
        <v>46</v>
      </c>
      <c r="D10" s="4" t="s">
        <v>54</v>
      </c>
      <c r="E10" s="5" t="n">
        <v>3</v>
      </c>
      <c r="F10" s="2" t="s">
        <v>15</v>
      </c>
      <c r="G10" s="6" t="s">
        <v>16</v>
      </c>
      <c r="H10" s="2" t="s">
        <v>50</v>
      </c>
      <c r="I10" s="2" t="s">
        <v>18</v>
      </c>
      <c r="J10" s="2" t="s">
        <v>55</v>
      </c>
      <c r="K10" s="2" t="s">
        <v>20</v>
      </c>
      <c r="L10" s="2" t="s">
        <v>21</v>
      </c>
    </row>
    <row r="11" customFormat="false" ht="23.85" hidden="false" customHeight="false" outlineLevel="0" collapsed="false">
      <c r="A11" s="2" t="s">
        <v>56</v>
      </c>
      <c r="B11" s="7" t="s">
        <v>45</v>
      </c>
      <c r="C11" s="2" t="s">
        <v>46</v>
      </c>
      <c r="D11" s="4" t="s">
        <v>57</v>
      </c>
      <c r="E11" s="5" t="n">
        <v>3</v>
      </c>
      <c r="F11" s="2" t="s">
        <v>58</v>
      </c>
      <c r="G11" s="6" t="s">
        <v>16</v>
      </c>
      <c r="H11" s="2" t="s">
        <v>59</v>
      </c>
      <c r="I11" s="2" t="s">
        <v>18</v>
      </c>
      <c r="J11" s="2" t="s">
        <v>25</v>
      </c>
      <c r="K11" s="2" t="s">
        <v>20</v>
      </c>
      <c r="L11" s="2" t="s">
        <v>21</v>
      </c>
    </row>
    <row r="12" customFormat="false" ht="23.85" hidden="false" customHeight="false" outlineLevel="0" collapsed="false">
      <c r="A12" s="2" t="s">
        <v>60</v>
      </c>
      <c r="B12" s="7" t="s">
        <v>45</v>
      </c>
      <c r="C12" s="2" t="s">
        <v>46</v>
      </c>
      <c r="D12" s="4" t="s">
        <v>61</v>
      </c>
      <c r="E12" s="5" t="n">
        <v>8</v>
      </c>
      <c r="F12" s="2" t="s">
        <v>48</v>
      </c>
      <c r="G12" s="6" t="s">
        <v>16</v>
      </c>
      <c r="H12" s="2" t="s">
        <v>59</v>
      </c>
      <c r="I12" s="2" t="s">
        <v>18</v>
      </c>
      <c r="J12" s="2" t="s">
        <v>19</v>
      </c>
      <c r="K12" s="2" t="s">
        <v>20</v>
      </c>
      <c r="L12" s="2" t="s">
        <v>21</v>
      </c>
    </row>
    <row r="13" customFormat="false" ht="23.85" hidden="false" customHeight="false" outlineLevel="0" collapsed="false">
      <c r="A13" s="2" t="s">
        <v>62</v>
      </c>
      <c r="B13" s="7" t="s">
        <v>45</v>
      </c>
      <c r="C13" s="2" t="s">
        <v>63</v>
      </c>
      <c r="D13" s="4" t="s">
        <v>64</v>
      </c>
      <c r="E13" s="5" t="n">
        <v>5</v>
      </c>
      <c r="F13" s="2" t="s">
        <v>48</v>
      </c>
      <c r="G13" s="8" t="s">
        <v>49</v>
      </c>
      <c r="H13" s="2" t="s">
        <v>50</v>
      </c>
      <c r="I13" s="2" t="s">
        <v>24</v>
      </c>
      <c r="J13" s="2" t="s">
        <v>65</v>
      </c>
      <c r="K13" s="2" t="s">
        <v>20</v>
      </c>
      <c r="L13" s="2" t="s">
        <v>21</v>
      </c>
    </row>
    <row r="14" customFormat="false" ht="23.85" hidden="false" customHeight="false" outlineLevel="0" collapsed="false">
      <c r="A14" s="2" t="s">
        <v>66</v>
      </c>
      <c r="B14" s="7" t="s">
        <v>45</v>
      </c>
      <c r="C14" s="2" t="s">
        <v>63</v>
      </c>
      <c r="D14" s="4" t="s">
        <v>67</v>
      </c>
      <c r="E14" s="5" t="n">
        <v>8</v>
      </c>
      <c r="F14" s="2" t="s">
        <v>48</v>
      </c>
      <c r="G14" s="9" t="s">
        <v>68</v>
      </c>
      <c r="H14" s="2" t="s">
        <v>50</v>
      </c>
      <c r="I14" s="2" t="s">
        <v>24</v>
      </c>
      <c r="J14" s="2" t="s">
        <v>25</v>
      </c>
      <c r="K14" s="2" t="s">
        <v>20</v>
      </c>
      <c r="L14" s="2" t="s">
        <v>21</v>
      </c>
    </row>
    <row r="15" customFormat="false" ht="23.85" hidden="false" customHeight="false" outlineLevel="0" collapsed="false">
      <c r="A15" s="2" t="s">
        <v>69</v>
      </c>
      <c r="B15" s="7" t="s">
        <v>45</v>
      </c>
      <c r="C15" s="2" t="s">
        <v>63</v>
      </c>
      <c r="D15" s="4" t="s">
        <v>70</v>
      </c>
      <c r="E15" s="5" t="n">
        <v>3</v>
      </c>
      <c r="F15" s="2" t="s">
        <v>15</v>
      </c>
      <c r="G15" s="6" t="s">
        <v>16</v>
      </c>
      <c r="H15" s="2" t="s">
        <v>50</v>
      </c>
      <c r="I15" s="2" t="s">
        <v>24</v>
      </c>
      <c r="J15" s="2" t="s">
        <v>71</v>
      </c>
      <c r="K15" s="2" t="s">
        <v>20</v>
      </c>
      <c r="L15" s="2" t="s">
        <v>21</v>
      </c>
    </row>
    <row r="16" customFormat="false" ht="23.85" hidden="false" customHeight="false" outlineLevel="0" collapsed="false">
      <c r="A16" s="2" t="s">
        <v>72</v>
      </c>
      <c r="B16" s="7" t="s">
        <v>45</v>
      </c>
      <c r="C16" s="2" t="s">
        <v>63</v>
      </c>
      <c r="D16" s="4" t="s">
        <v>73</v>
      </c>
      <c r="E16" s="5" t="n">
        <v>2</v>
      </c>
      <c r="F16" s="2" t="s">
        <v>15</v>
      </c>
      <c r="G16" s="6" t="s">
        <v>16</v>
      </c>
      <c r="H16" s="2" t="s">
        <v>50</v>
      </c>
      <c r="I16" s="2" t="s">
        <v>24</v>
      </c>
      <c r="J16" s="2" t="s">
        <v>65</v>
      </c>
      <c r="K16" s="2" t="s">
        <v>20</v>
      </c>
      <c r="L16" s="2" t="s">
        <v>21</v>
      </c>
    </row>
    <row r="17" customFormat="false" ht="23.85" hidden="false" customHeight="false" outlineLevel="0" collapsed="false">
      <c r="A17" s="2" t="s">
        <v>74</v>
      </c>
      <c r="B17" s="7" t="s">
        <v>45</v>
      </c>
      <c r="C17" s="2" t="s">
        <v>63</v>
      </c>
      <c r="D17" s="4" t="s">
        <v>75</v>
      </c>
      <c r="E17" s="5" t="n">
        <v>5</v>
      </c>
      <c r="F17" s="2" t="s">
        <v>48</v>
      </c>
      <c r="G17" s="10" t="s">
        <v>76</v>
      </c>
      <c r="H17" s="2" t="s">
        <v>50</v>
      </c>
      <c r="I17" s="2" t="s">
        <v>24</v>
      </c>
      <c r="J17" s="2" t="s">
        <v>77</v>
      </c>
      <c r="K17" s="2" t="s">
        <v>20</v>
      </c>
      <c r="L17" s="2" t="s">
        <v>21</v>
      </c>
    </row>
    <row r="18" customFormat="false" ht="23.85" hidden="false" customHeight="false" outlineLevel="0" collapsed="false">
      <c r="A18" s="2" t="s">
        <v>78</v>
      </c>
      <c r="B18" s="7" t="s">
        <v>45</v>
      </c>
      <c r="C18" s="2" t="s">
        <v>63</v>
      </c>
      <c r="D18" s="4" t="s">
        <v>79</v>
      </c>
      <c r="E18" s="5" t="n">
        <v>2</v>
      </c>
      <c r="F18" s="2" t="s">
        <v>58</v>
      </c>
      <c r="G18" s="6" t="s">
        <v>16</v>
      </c>
      <c r="H18" s="2" t="s">
        <v>59</v>
      </c>
      <c r="I18" s="2" t="s">
        <v>24</v>
      </c>
      <c r="J18" s="2" t="s">
        <v>65</v>
      </c>
      <c r="K18" s="2" t="s">
        <v>20</v>
      </c>
      <c r="L18" s="2" t="s">
        <v>21</v>
      </c>
    </row>
    <row r="19" customFormat="false" ht="23.85" hidden="false" customHeight="false" outlineLevel="0" collapsed="false">
      <c r="A19" s="2" t="s">
        <v>80</v>
      </c>
      <c r="B19" s="7" t="s">
        <v>45</v>
      </c>
      <c r="C19" s="2" t="s">
        <v>81</v>
      </c>
      <c r="D19" s="4" t="s">
        <v>82</v>
      </c>
      <c r="E19" s="5" t="n">
        <v>5</v>
      </c>
      <c r="F19" s="2" t="s">
        <v>48</v>
      </c>
      <c r="G19" s="6" t="s">
        <v>16</v>
      </c>
      <c r="H19" s="2" t="s">
        <v>59</v>
      </c>
      <c r="I19" s="2" t="s">
        <v>28</v>
      </c>
      <c r="J19" s="2" t="s">
        <v>29</v>
      </c>
      <c r="K19" s="2" t="s">
        <v>30</v>
      </c>
      <c r="L19" s="2" t="s">
        <v>31</v>
      </c>
    </row>
    <row r="20" customFormat="false" ht="23.85" hidden="false" customHeight="false" outlineLevel="0" collapsed="false">
      <c r="A20" s="2" t="s">
        <v>83</v>
      </c>
      <c r="B20" s="7" t="s">
        <v>45</v>
      </c>
      <c r="C20" s="2" t="s">
        <v>81</v>
      </c>
      <c r="D20" s="4" t="s">
        <v>84</v>
      </c>
      <c r="E20" s="5" t="n">
        <v>5</v>
      </c>
      <c r="F20" s="2" t="s">
        <v>48</v>
      </c>
      <c r="G20" s="6" t="s">
        <v>16</v>
      </c>
      <c r="H20" s="2" t="s">
        <v>59</v>
      </c>
      <c r="I20" s="2" t="s">
        <v>28</v>
      </c>
      <c r="J20" s="2" t="s">
        <v>85</v>
      </c>
      <c r="K20" s="2" t="s">
        <v>30</v>
      </c>
      <c r="L20" s="2" t="s">
        <v>31</v>
      </c>
    </row>
    <row r="21" customFormat="false" ht="23.85" hidden="false" customHeight="false" outlineLevel="0" collapsed="false">
      <c r="A21" s="2" t="s">
        <v>86</v>
      </c>
      <c r="B21" s="7" t="s">
        <v>45</v>
      </c>
      <c r="C21" s="2" t="s">
        <v>81</v>
      </c>
      <c r="D21" s="4" t="s">
        <v>87</v>
      </c>
      <c r="E21" s="5" t="n">
        <v>3</v>
      </c>
      <c r="F21" s="2" t="s">
        <v>15</v>
      </c>
      <c r="G21" s="6" t="s">
        <v>16</v>
      </c>
      <c r="H21" s="2" t="s">
        <v>59</v>
      </c>
      <c r="I21" s="2" t="s">
        <v>28</v>
      </c>
      <c r="J21" s="2" t="s">
        <v>88</v>
      </c>
      <c r="K21" s="2" t="s">
        <v>30</v>
      </c>
      <c r="L21" s="2" t="s">
        <v>31</v>
      </c>
    </row>
    <row r="22" customFormat="false" ht="23.85" hidden="false" customHeight="false" outlineLevel="0" collapsed="false">
      <c r="A22" s="2" t="s">
        <v>89</v>
      </c>
      <c r="B22" s="7" t="s">
        <v>45</v>
      </c>
      <c r="C22" s="2" t="s">
        <v>81</v>
      </c>
      <c r="D22" s="4" t="s">
        <v>90</v>
      </c>
      <c r="E22" s="5" t="n">
        <v>8</v>
      </c>
      <c r="F22" s="2" t="s">
        <v>48</v>
      </c>
      <c r="G22" s="6" t="s">
        <v>16</v>
      </c>
      <c r="H22" s="2" t="s">
        <v>59</v>
      </c>
      <c r="I22" s="2" t="s">
        <v>28</v>
      </c>
      <c r="J22" s="2" t="s">
        <v>29</v>
      </c>
      <c r="K22" s="2" t="s">
        <v>30</v>
      </c>
      <c r="L22" s="2" t="s">
        <v>31</v>
      </c>
    </row>
    <row r="23" customFormat="false" ht="23.85" hidden="false" customHeight="false" outlineLevel="0" collapsed="false">
      <c r="A23" s="2" t="s">
        <v>91</v>
      </c>
      <c r="B23" s="7" t="s">
        <v>45</v>
      </c>
      <c r="C23" s="2" t="s">
        <v>81</v>
      </c>
      <c r="D23" s="4" t="s">
        <v>92</v>
      </c>
      <c r="E23" s="5" t="n">
        <v>3</v>
      </c>
      <c r="F23" s="2" t="s">
        <v>15</v>
      </c>
      <c r="G23" s="6" t="s">
        <v>16</v>
      </c>
      <c r="H23" s="2" t="s">
        <v>59</v>
      </c>
      <c r="I23" s="2" t="s">
        <v>28</v>
      </c>
      <c r="J23" s="2" t="s">
        <v>85</v>
      </c>
      <c r="K23" s="2" t="s">
        <v>30</v>
      </c>
      <c r="L23" s="2" t="s">
        <v>31</v>
      </c>
    </row>
    <row r="24" customFormat="false" ht="23.85" hidden="false" customHeight="false" outlineLevel="0" collapsed="false">
      <c r="A24" s="2" t="s">
        <v>93</v>
      </c>
      <c r="B24" s="7" t="s">
        <v>45</v>
      </c>
      <c r="C24" s="2" t="s">
        <v>94</v>
      </c>
      <c r="D24" s="4" t="s">
        <v>95</v>
      </c>
      <c r="E24" s="5" t="n">
        <v>5</v>
      </c>
      <c r="F24" s="2" t="s">
        <v>48</v>
      </c>
      <c r="G24" s="6" t="s">
        <v>16</v>
      </c>
      <c r="H24" s="2" t="s">
        <v>59</v>
      </c>
      <c r="I24" s="2" t="s">
        <v>34</v>
      </c>
      <c r="J24" s="2" t="s">
        <v>29</v>
      </c>
      <c r="K24" s="2" t="s">
        <v>30</v>
      </c>
      <c r="L24" s="2" t="s">
        <v>31</v>
      </c>
    </row>
    <row r="25" customFormat="false" ht="23.85" hidden="false" customHeight="false" outlineLevel="0" collapsed="false">
      <c r="A25" s="2" t="s">
        <v>96</v>
      </c>
      <c r="B25" s="7" t="s">
        <v>45</v>
      </c>
      <c r="C25" s="2" t="s">
        <v>94</v>
      </c>
      <c r="D25" s="4" t="s">
        <v>97</v>
      </c>
      <c r="E25" s="5" t="n">
        <v>3</v>
      </c>
      <c r="F25" s="2" t="s">
        <v>48</v>
      </c>
      <c r="G25" s="6" t="s">
        <v>16</v>
      </c>
      <c r="H25" s="2" t="s">
        <v>59</v>
      </c>
      <c r="I25" s="2" t="s">
        <v>34</v>
      </c>
      <c r="J25" s="2" t="s">
        <v>88</v>
      </c>
      <c r="K25" s="2" t="s">
        <v>30</v>
      </c>
      <c r="L25" s="2" t="s">
        <v>31</v>
      </c>
    </row>
    <row r="26" customFormat="false" ht="23.85" hidden="false" customHeight="false" outlineLevel="0" collapsed="false">
      <c r="A26" s="2" t="s">
        <v>98</v>
      </c>
      <c r="B26" s="7" t="s">
        <v>45</v>
      </c>
      <c r="C26" s="2" t="s">
        <v>94</v>
      </c>
      <c r="D26" s="4" t="s">
        <v>99</v>
      </c>
      <c r="E26" s="5" t="n">
        <v>3</v>
      </c>
      <c r="F26" s="2" t="s">
        <v>15</v>
      </c>
      <c r="G26" s="6" t="s">
        <v>16</v>
      </c>
      <c r="H26" s="2" t="s">
        <v>59</v>
      </c>
      <c r="I26" s="2" t="s">
        <v>34</v>
      </c>
      <c r="J26" s="2" t="s">
        <v>85</v>
      </c>
      <c r="K26" s="2" t="s">
        <v>30</v>
      </c>
      <c r="L26" s="2" t="s">
        <v>31</v>
      </c>
    </row>
    <row r="27" customFormat="false" ht="23.85" hidden="false" customHeight="false" outlineLevel="0" collapsed="false">
      <c r="A27" s="2" t="s">
        <v>100</v>
      </c>
      <c r="B27" s="7" t="s">
        <v>45</v>
      </c>
      <c r="C27" s="2" t="s">
        <v>94</v>
      </c>
      <c r="D27" s="4" t="s">
        <v>101</v>
      </c>
      <c r="E27" s="5" t="n">
        <v>8</v>
      </c>
      <c r="F27" s="2" t="s">
        <v>48</v>
      </c>
      <c r="G27" s="6" t="s">
        <v>16</v>
      </c>
      <c r="H27" s="2" t="s">
        <v>102</v>
      </c>
      <c r="I27" s="2" t="s">
        <v>34</v>
      </c>
      <c r="J27" s="2" t="s">
        <v>29</v>
      </c>
      <c r="K27" s="2" t="s">
        <v>39</v>
      </c>
      <c r="L27" s="2" t="s">
        <v>31</v>
      </c>
    </row>
    <row r="28" customFormat="false" ht="23.85" hidden="false" customHeight="false" outlineLevel="0" collapsed="false">
      <c r="A28" s="2" t="s">
        <v>103</v>
      </c>
      <c r="B28" s="7" t="s">
        <v>45</v>
      </c>
      <c r="C28" s="2" t="s">
        <v>94</v>
      </c>
      <c r="D28" s="4" t="s">
        <v>104</v>
      </c>
      <c r="E28" s="5" t="n">
        <v>5</v>
      </c>
      <c r="F28" s="2" t="s">
        <v>15</v>
      </c>
      <c r="G28" s="6" t="s">
        <v>16</v>
      </c>
      <c r="H28" s="2" t="s">
        <v>102</v>
      </c>
      <c r="I28" s="2" t="s">
        <v>34</v>
      </c>
      <c r="J28" s="2" t="s">
        <v>85</v>
      </c>
      <c r="K28" s="2" t="s">
        <v>39</v>
      </c>
      <c r="L28" s="2" t="s">
        <v>31</v>
      </c>
    </row>
    <row r="29" customFormat="false" ht="23.85" hidden="false" customHeight="false" outlineLevel="0" collapsed="false">
      <c r="A29" s="2" t="s">
        <v>105</v>
      </c>
      <c r="B29" s="7" t="s">
        <v>45</v>
      </c>
      <c r="C29" s="2" t="s">
        <v>106</v>
      </c>
      <c r="D29" s="4" t="s">
        <v>107</v>
      </c>
      <c r="E29" s="5" t="n">
        <v>5</v>
      </c>
      <c r="F29" s="2" t="s">
        <v>48</v>
      </c>
      <c r="G29" s="6" t="s">
        <v>16</v>
      </c>
      <c r="H29" s="2" t="s">
        <v>102</v>
      </c>
      <c r="I29" s="2" t="s">
        <v>37</v>
      </c>
      <c r="J29" s="2" t="s">
        <v>38</v>
      </c>
      <c r="K29" s="2" t="s">
        <v>39</v>
      </c>
      <c r="L29" s="2" t="s">
        <v>21</v>
      </c>
    </row>
    <row r="30" customFormat="false" ht="23.85" hidden="false" customHeight="false" outlineLevel="0" collapsed="false">
      <c r="A30" s="2" t="s">
        <v>108</v>
      </c>
      <c r="B30" s="7" t="s">
        <v>45</v>
      </c>
      <c r="C30" s="2" t="s">
        <v>106</v>
      </c>
      <c r="D30" s="4" t="s">
        <v>109</v>
      </c>
      <c r="E30" s="5" t="n">
        <v>5</v>
      </c>
      <c r="F30" s="2" t="s">
        <v>48</v>
      </c>
      <c r="G30" s="6" t="s">
        <v>16</v>
      </c>
      <c r="H30" s="2" t="s">
        <v>102</v>
      </c>
      <c r="I30" s="2" t="s">
        <v>37</v>
      </c>
      <c r="J30" s="2" t="s">
        <v>25</v>
      </c>
      <c r="K30" s="2" t="s">
        <v>39</v>
      </c>
      <c r="L30" s="2" t="s">
        <v>21</v>
      </c>
    </row>
    <row r="31" customFormat="false" ht="23.85" hidden="false" customHeight="false" outlineLevel="0" collapsed="false">
      <c r="A31" s="2" t="s">
        <v>110</v>
      </c>
      <c r="B31" s="7" t="s">
        <v>45</v>
      </c>
      <c r="C31" s="2" t="s">
        <v>106</v>
      </c>
      <c r="D31" s="4" t="s">
        <v>111</v>
      </c>
      <c r="E31" s="5" t="n">
        <v>3</v>
      </c>
      <c r="F31" s="2" t="s">
        <v>15</v>
      </c>
      <c r="G31" s="6" t="s">
        <v>16</v>
      </c>
      <c r="H31" s="2" t="s">
        <v>102</v>
      </c>
      <c r="I31" s="2" t="s">
        <v>37</v>
      </c>
      <c r="J31" s="2" t="s">
        <v>65</v>
      </c>
      <c r="K31" s="2" t="s">
        <v>39</v>
      </c>
      <c r="L31" s="2" t="s">
        <v>21</v>
      </c>
    </row>
    <row r="32" customFormat="false" ht="23.85" hidden="false" customHeight="false" outlineLevel="0" collapsed="false">
      <c r="A32" s="2" t="s">
        <v>112</v>
      </c>
      <c r="B32" s="7" t="s">
        <v>45</v>
      </c>
      <c r="C32" s="2" t="s">
        <v>106</v>
      </c>
      <c r="D32" s="4" t="s">
        <v>113</v>
      </c>
      <c r="E32" s="5" t="n">
        <v>5</v>
      </c>
      <c r="F32" s="2" t="s">
        <v>15</v>
      </c>
      <c r="G32" s="6" t="s">
        <v>16</v>
      </c>
      <c r="H32" s="2" t="s">
        <v>102</v>
      </c>
      <c r="I32" s="2" t="s">
        <v>37</v>
      </c>
      <c r="J32" s="2" t="s">
        <v>25</v>
      </c>
      <c r="K32" s="2" t="s">
        <v>39</v>
      </c>
      <c r="L32" s="2" t="s">
        <v>21</v>
      </c>
    </row>
    <row r="33" customFormat="false" ht="23.85" hidden="false" customHeight="false" outlineLevel="0" collapsed="false">
      <c r="A33" s="2" t="s">
        <v>114</v>
      </c>
      <c r="B33" s="7" t="s">
        <v>45</v>
      </c>
      <c r="C33" s="2" t="s">
        <v>115</v>
      </c>
      <c r="D33" s="4" t="s">
        <v>116</v>
      </c>
      <c r="E33" s="5" t="n">
        <v>5</v>
      </c>
      <c r="F33" s="2" t="s">
        <v>15</v>
      </c>
      <c r="G33" s="6" t="s">
        <v>16</v>
      </c>
      <c r="H33" s="2" t="s">
        <v>102</v>
      </c>
      <c r="I33" s="2" t="s">
        <v>42</v>
      </c>
      <c r="J33" s="2" t="s">
        <v>43</v>
      </c>
      <c r="K33" s="2" t="s">
        <v>39</v>
      </c>
      <c r="L33" s="2" t="s">
        <v>31</v>
      </c>
    </row>
    <row r="34" customFormat="false" ht="23.85" hidden="false" customHeight="false" outlineLevel="0" collapsed="false">
      <c r="A34" s="2" t="s">
        <v>117</v>
      </c>
      <c r="B34" s="7" t="s">
        <v>45</v>
      </c>
      <c r="C34" s="2" t="s">
        <v>115</v>
      </c>
      <c r="D34" s="4" t="s">
        <v>118</v>
      </c>
      <c r="E34" s="5" t="n">
        <v>5</v>
      </c>
      <c r="F34" s="2" t="s">
        <v>15</v>
      </c>
      <c r="G34" s="6" t="s">
        <v>16</v>
      </c>
      <c r="H34" s="2" t="s">
        <v>102</v>
      </c>
      <c r="I34" s="2" t="s">
        <v>42</v>
      </c>
      <c r="J34" s="2" t="s">
        <v>29</v>
      </c>
      <c r="K34" s="2" t="s">
        <v>39</v>
      </c>
      <c r="L34" s="2" t="s">
        <v>31</v>
      </c>
    </row>
    <row r="35" customFormat="false" ht="23.85" hidden="false" customHeight="false" outlineLevel="0" collapsed="false">
      <c r="A35" s="2" t="s">
        <v>119</v>
      </c>
      <c r="B35" s="7" t="s">
        <v>45</v>
      </c>
      <c r="C35" s="2" t="s">
        <v>115</v>
      </c>
      <c r="D35" s="4" t="s">
        <v>120</v>
      </c>
      <c r="E35" s="5" t="n">
        <v>8</v>
      </c>
      <c r="F35" s="2" t="s">
        <v>48</v>
      </c>
      <c r="G35" s="6" t="s">
        <v>16</v>
      </c>
      <c r="H35" s="2" t="s">
        <v>102</v>
      </c>
      <c r="I35" s="2" t="s">
        <v>42</v>
      </c>
      <c r="J35" s="2" t="s">
        <v>43</v>
      </c>
      <c r="K35" s="2" t="s">
        <v>39</v>
      </c>
      <c r="L35" s="2" t="s">
        <v>31</v>
      </c>
    </row>
    <row r="36" customFormat="false" ht="23.85" hidden="false" customHeight="false" outlineLevel="0" collapsed="false">
      <c r="A36" s="2" t="s">
        <v>121</v>
      </c>
      <c r="B36" s="7" t="s">
        <v>45</v>
      </c>
      <c r="C36" s="2" t="s">
        <v>115</v>
      </c>
      <c r="D36" s="4" t="s">
        <v>122</v>
      </c>
      <c r="E36" s="5" t="n">
        <v>8</v>
      </c>
      <c r="F36" s="2" t="s">
        <v>15</v>
      </c>
      <c r="G36" s="6" t="s">
        <v>16</v>
      </c>
      <c r="H36" s="2" t="s">
        <v>102</v>
      </c>
      <c r="I36" s="2" t="s">
        <v>42</v>
      </c>
      <c r="J36" s="2" t="s">
        <v>85</v>
      </c>
      <c r="K36" s="2" t="s">
        <v>39</v>
      </c>
      <c r="L36" s="2" t="s">
        <v>31</v>
      </c>
    </row>
    <row r="37" customFormat="false" ht="15" hidden="false" customHeight="false" outlineLevel="0" collapsed="false">
      <c r="A37" s="2" t="s">
        <v>123</v>
      </c>
      <c r="B37" s="11" t="s">
        <v>124</v>
      </c>
      <c r="C37" s="2" t="s">
        <v>46</v>
      </c>
      <c r="D37" s="4" t="s">
        <v>125</v>
      </c>
      <c r="E37" s="5"/>
      <c r="F37" s="2" t="s">
        <v>48</v>
      </c>
      <c r="G37" s="8" t="s">
        <v>49</v>
      </c>
      <c r="H37" s="2" t="s">
        <v>50</v>
      </c>
      <c r="I37" s="2" t="s">
        <v>126</v>
      </c>
      <c r="J37" s="2" t="s">
        <v>127</v>
      </c>
      <c r="K37" s="2" t="s">
        <v>20</v>
      </c>
      <c r="L37" s="2" t="s">
        <v>21</v>
      </c>
    </row>
    <row r="38" customFormat="false" ht="15" hidden="false" customHeight="false" outlineLevel="0" collapsed="false">
      <c r="A38" s="2" t="s">
        <v>128</v>
      </c>
      <c r="B38" s="11" t="s">
        <v>124</v>
      </c>
      <c r="C38" s="2" t="s">
        <v>46</v>
      </c>
      <c r="D38" s="4" t="s">
        <v>129</v>
      </c>
      <c r="E38" s="5"/>
      <c r="F38" s="2" t="s">
        <v>48</v>
      </c>
      <c r="G38" s="8" t="s">
        <v>49</v>
      </c>
      <c r="H38" s="2" t="s">
        <v>50</v>
      </c>
      <c r="I38" s="2" t="s">
        <v>126</v>
      </c>
      <c r="J38" s="2" t="s">
        <v>130</v>
      </c>
      <c r="K38" s="2" t="s">
        <v>20</v>
      </c>
      <c r="L38" s="2" t="s">
        <v>21</v>
      </c>
    </row>
    <row r="39" customFormat="false" ht="15" hidden="false" customHeight="false" outlineLevel="0" collapsed="false">
      <c r="A39" s="2" t="s">
        <v>131</v>
      </c>
      <c r="B39" s="11" t="s">
        <v>124</v>
      </c>
      <c r="C39" s="2" t="s">
        <v>63</v>
      </c>
      <c r="D39" s="4" t="s">
        <v>132</v>
      </c>
      <c r="E39" s="5"/>
      <c r="F39" s="2" t="s">
        <v>15</v>
      </c>
      <c r="G39" s="8" t="s">
        <v>49</v>
      </c>
      <c r="H39" s="2" t="s">
        <v>50</v>
      </c>
      <c r="I39" s="2" t="s">
        <v>126</v>
      </c>
      <c r="J39" s="2" t="s">
        <v>65</v>
      </c>
      <c r="K39" s="2" t="s">
        <v>20</v>
      </c>
      <c r="L39" s="2" t="s">
        <v>21</v>
      </c>
    </row>
    <row r="40" customFormat="false" ht="15" hidden="false" customHeight="false" outlineLevel="0" collapsed="false">
      <c r="A40" s="2" t="s">
        <v>133</v>
      </c>
      <c r="B40" s="11" t="s">
        <v>124</v>
      </c>
      <c r="C40" s="2" t="s">
        <v>63</v>
      </c>
      <c r="D40" s="4" t="s">
        <v>134</v>
      </c>
      <c r="E40" s="5"/>
      <c r="F40" s="2" t="s">
        <v>15</v>
      </c>
      <c r="G40" s="6" t="s">
        <v>16</v>
      </c>
      <c r="H40" s="2" t="s">
        <v>59</v>
      </c>
      <c r="I40" s="2" t="s">
        <v>126</v>
      </c>
      <c r="J40" s="2" t="s">
        <v>65</v>
      </c>
      <c r="K40" s="2" t="s">
        <v>20</v>
      </c>
      <c r="L40" s="2" t="s">
        <v>21</v>
      </c>
    </row>
    <row r="41" customFormat="false" ht="15" hidden="false" customHeight="false" outlineLevel="0" collapsed="false">
      <c r="A41" s="2" t="s">
        <v>135</v>
      </c>
      <c r="B41" s="11" t="s">
        <v>124</v>
      </c>
      <c r="C41" s="2" t="s">
        <v>81</v>
      </c>
      <c r="D41" s="4" t="s">
        <v>136</v>
      </c>
      <c r="E41" s="5"/>
      <c r="F41" s="2" t="s">
        <v>15</v>
      </c>
      <c r="G41" s="6" t="s">
        <v>16</v>
      </c>
      <c r="H41" s="2" t="s">
        <v>59</v>
      </c>
      <c r="I41" s="2" t="s">
        <v>126</v>
      </c>
      <c r="J41" s="2" t="s">
        <v>85</v>
      </c>
      <c r="K41" s="2" t="s">
        <v>30</v>
      </c>
      <c r="L41" s="2" t="s">
        <v>31</v>
      </c>
    </row>
    <row r="42" customFormat="false" ht="15" hidden="false" customHeight="false" outlineLevel="0" collapsed="false">
      <c r="A42" s="2" t="s">
        <v>137</v>
      </c>
      <c r="B42" s="11" t="s">
        <v>124</v>
      </c>
      <c r="C42" s="2" t="s">
        <v>115</v>
      </c>
      <c r="D42" s="4" t="s">
        <v>138</v>
      </c>
      <c r="E42" s="5"/>
      <c r="F42" s="2" t="s">
        <v>58</v>
      </c>
      <c r="G42" s="6" t="s">
        <v>16</v>
      </c>
      <c r="H42" s="2" t="s">
        <v>102</v>
      </c>
      <c r="I42" s="2" t="s">
        <v>126</v>
      </c>
      <c r="J42" s="2" t="s">
        <v>85</v>
      </c>
      <c r="K42" s="2" t="s">
        <v>39</v>
      </c>
      <c r="L42" s="2" t="s">
        <v>31</v>
      </c>
    </row>
    <row r="43" customFormat="false" ht="15" hidden="false" customHeight="false" outlineLevel="0" collapsed="false">
      <c r="A43" s="2" t="s">
        <v>139</v>
      </c>
      <c r="B43" s="12" t="s">
        <v>140</v>
      </c>
      <c r="C43" s="2" t="s">
        <v>63</v>
      </c>
      <c r="D43" s="4" t="s">
        <v>141</v>
      </c>
      <c r="E43" s="5"/>
      <c r="F43" s="2" t="s">
        <v>48</v>
      </c>
      <c r="G43" s="9" t="s">
        <v>68</v>
      </c>
      <c r="H43" s="2" t="s">
        <v>50</v>
      </c>
      <c r="I43" s="2" t="s">
        <v>142</v>
      </c>
      <c r="J43" s="2" t="s">
        <v>65</v>
      </c>
      <c r="K43" s="2" t="s">
        <v>20</v>
      </c>
      <c r="L43" s="2" t="s">
        <v>21</v>
      </c>
    </row>
    <row r="44" customFormat="false" ht="15" hidden="false" customHeight="false" outlineLevel="0" collapsed="false">
      <c r="A44" s="2" t="s">
        <v>143</v>
      </c>
      <c r="B44" s="12" t="s">
        <v>140</v>
      </c>
      <c r="C44" s="2" t="s">
        <v>63</v>
      </c>
      <c r="D44" s="4" t="s">
        <v>144</v>
      </c>
      <c r="E44" s="5"/>
      <c r="F44" s="2" t="s">
        <v>48</v>
      </c>
      <c r="G44" s="6" t="s">
        <v>16</v>
      </c>
      <c r="H44" s="2" t="s">
        <v>50</v>
      </c>
      <c r="I44" s="2" t="s">
        <v>142</v>
      </c>
      <c r="J44" s="2" t="s">
        <v>65</v>
      </c>
      <c r="K44" s="2" t="s">
        <v>20</v>
      </c>
      <c r="L44" s="2" t="s">
        <v>21</v>
      </c>
    </row>
    <row r="45" customFormat="false" ht="23.85" hidden="false" customHeight="false" outlineLevel="0" collapsed="false">
      <c r="A45" s="2" t="s">
        <v>145</v>
      </c>
      <c r="B45" s="12" t="s">
        <v>140</v>
      </c>
      <c r="C45" s="2" t="s">
        <v>106</v>
      </c>
      <c r="D45" s="4" t="s">
        <v>146</v>
      </c>
      <c r="E45" s="5"/>
      <c r="F45" s="2" t="s">
        <v>15</v>
      </c>
      <c r="G45" s="6" t="s">
        <v>16</v>
      </c>
      <c r="H45" s="2" t="s">
        <v>17</v>
      </c>
      <c r="I45" s="2" t="s">
        <v>142</v>
      </c>
      <c r="J45" s="2" t="s">
        <v>147</v>
      </c>
      <c r="K45" s="2" t="s">
        <v>39</v>
      </c>
      <c r="L45" s="2" t="s">
        <v>21</v>
      </c>
    </row>
    <row r="46" customFormat="false" ht="15" hidden="false" customHeight="false" outlineLevel="0" collapsed="false">
      <c r="A46" s="2" t="s">
        <v>148</v>
      </c>
      <c r="B46" s="12" t="s">
        <v>140</v>
      </c>
      <c r="C46" s="2" t="s">
        <v>81</v>
      </c>
      <c r="D46" s="4" t="s">
        <v>149</v>
      </c>
      <c r="E46" s="5"/>
      <c r="F46" s="2" t="s">
        <v>15</v>
      </c>
      <c r="G46" s="6" t="s">
        <v>16</v>
      </c>
      <c r="H46" s="2" t="s">
        <v>17</v>
      </c>
      <c r="I46" s="2" t="s">
        <v>142</v>
      </c>
      <c r="J46" s="2" t="s">
        <v>85</v>
      </c>
      <c r="K46" s="2" t="s">
        <v>30</v>
      </c>
      <c r="L46" s="2" t="s">
        <v>31</v>
      </c>
    </row>
  </sheetData>
  <autoFilter ref="A1:L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150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customFormat="false" ht="23.85" hidden="false" customHeight="false" outlineLevel="0" collapsed="false">
      <c r="A2" s="2" t="s">
        <v>44</v>
      </c>
      <c r="B2" s="7" t="s">
        <v>45</v>
      </c>
      <c r="C2" s="2" t="s">
        <v>46</v>
      </c>
      <c r="D2" s="4" t="s">
        <v>47</v>
      </c>
      <c r="E2" s="5" t="n">
        <v>5</v>
      </c>
      <c r="F2" s="2" t="s">
        <v>48</v>
      </c>
      <c r="G2" s="8" t="s">
        <v>49</v>
      </c>
      <c r="H2" s="2" t="s">
        <v>21</v>
      </c>
    </row>
    <row r="3" customFormat="false" ht="23.85" hidden="false" customHeight="false" outlineLevel="0" collapsed="false">
      <c r="A3" s="2" t="s">
        <v>51</v>
      </c>
      <c r="B3" s="7" t="s">
        <v>45</v>
      </c>
      <c r="C3" s="2" t="s">
        <v>46</v>
      </c>
      <c r="D3" s="4" t="s">
        <v>52</v>
      </c>
      <c r="E3" s="5" t="n">
        <v>3</v>
      </c>
      <c r="F3" s="2" t="s">
        <v>48</v>
      </c>
      <c r="G3" s="8" t="s">
        <v>49</v>
      </c>
      <c r="H3" s="2" t="s">
        <v>21</v>
      </c>
    </row>
    <row r="4" customFormat="false" ht="23.85" hidden="false" customHeight="false" outlineLevel="0" collapsed="false">
      <c r="A4" s="2" t="s">
        <v>53</v>
      </c>
      <c r="B4" s="7" t="s">
        <v>45</v>
      </c>
      <c r="C4" s="2" t="s">
        <v>46</v>
      </c>
      <c r="D4" s="4" t="s">
        <v>54</v>
      </c>
      <c r="E4" s="5" t="n">
        <v>3</v>
      </c>
      <c r="F4" s="2" t="s">
        <v>15</v>
      </c>
      <c r="G4" s="6" t="s">
        <v>16</v>
      </c>
      <c r="H4" s="2" t="s">
        <v>21</v>
      </c>
    </row>
    <row r="5" customFormat="false" ht="23.85" hidden="false" customHeight="false" outlineLevel="0" collapsed="false">
      <c r="A5" s="2" t="s">
        <v>62</v>
      </c>
      <c r="B5" s="7" t="s">
        <v>45</v>
      </c>
      <c r="C5" s="2" t="s">
        <v>63</v>
      </c>
      <c r="D5" s="4" t="s">
        <v>64</v>
      </c>
      <c r="E5" s="5" t="n">
        <v>5</v>
      </c>
      <c r="F5" s="2" t="s">
        <v>48</v>
      </c>
      <c r="G5" s="8" t="s">
        <v>49</v>
      </c>
      <c r="H5" s="2" t="s">
        <v>21</v>
      </c>
    </row>
    <row r="6" customFormat="false" ht="23.85" hidden="false" customHeight="false" outlineLevel="0" collapsed="false">
      <c r="A6" s="2" t="s">
        <v>66</v>
      </c>
      <c r="B6" s="7" t="s">
        <v>45</v>
      </c>
      <c r="C6" s="2" t="s">
        <v>63</v>
      </c>
      <c r="D6" s="4" t="s">
        <v>67</v>
      </c>
      <c r="E6" s="5" t="n">
        <v>8</v>
      </c>
      <c r="F6" s="2" t="s">
        <v>48</v>
      </c>
      <c r="G6" s="9" t="s">
        <v>68</v>
      </c>
      <c r="H6" s="2" t="s">
        <v>21</v>
      </c>
    </row>
    <row r="7" customFormat="false" ht="23.85" hidden="false" customHeight="false" outlineLevel="0" collapsed="false">
      <c r="A7" s="2" t="s">
        <v>69</v>
      </c>
      <c r="B7" s="7" t="s">
        <v>45</v>
      </c>
      <c r="C7" s="2" t="s">
        <v>63</v>
      </c>
      <c r="D7" s="4" t="s">
        <v>70</v>
      </c>
      <c r="E7" s="5" t="n">
        <v>3</v>
      </c>
      <c r="F7" s="2" t="s">
        <v>15</v>
      </c>
      <c r="G7" s="6" t="s">
        <v>16</v>
      </c>
      <c r="H7" s="2" t="s">
        <v>21</v>
      </c>
    </row>
    <row r="8" customFormat="false" ht="23.85" hidden="false" customHeight="false" outlineLevel="0" collapsed="false">
      <c r="A8" s="2" t="s">
        <v>72</v>
      </c>
      <c r="B8" s="7" t="s">
        <v>45</v>
      </c>
      <c r="C8" s="2" t="s">
        <v>63</v>
      </c>
      <c r="D8" s="4" t="s">
        <v>73</v>
      </c>
      <c r="E8" s="5" t="n">
        <v>2</v>
      </c>
      <c r="F8" s="2" t="s">
        <v>15</v>
      </c>
      <c r="G8" s="6" t="s">
        <v>16</v>
      </c>
      <c r="H8" s="2" t="s">
        <v>21</v>
      </c>
    </row>
    <row r="9" customFormat="false" ht="23.85" hidden="false" customHeight="false" outlineLevel="0" collapsed="false">
      <c r="A9" s="2" t="s">
        <v>74</v>
      </c>
      <c r="B9" s="7" t="s">
        <v>45</v>
      </c>
      <c r="C9" s="2" t="s">
        <v>63</v>
      </c>
      <c r="D9" s="4" t="s">
        <v>75</v>
      </c>
      <c r="E9" s="5" t="n">
        <v>5</v>
      </c>
      <c r="F9" s="2" t="s">
        <v>48</v>
      </c>
      <c r="G9" s="10" t="s">
        <v>76</v>
      </c>
      <c r="H9" s="2" t="s">
        <v>21</v>
      </c>
    </row>
    <row r="10" customFormat="false" ht="15" hidden="false" customHeight="false" outlineLevel="0" collapsed="false">
      <c r="A10" s="2" t="s">
        <v>123</v>
      </c>
      <c r="B10" s="11" t="s">
        <v>124</v>
      </c>
      <c r="C10" s="2" t="s">
        <v>46</v>
      </c>
      <c r="D10" s="4" t="s">
        <v>125</v>
      </c>
      <c r="E10" s="5"/>
      <c r="F10" s="2" t="s">
        <v>48</v>
      </c>
      <c r="G10" s="8" t="s">
        <v>49</v>
      </c>
      <c r="H10" s="2" t="s">
        <v>21</v>
      </c>
    </row>
    <row r="11" customFormat="false" ht="15" hidden="false" customHeight="false" outlineLevel="0" collapsed="false">
      <c r="A11" s="2" t="s">
        <v>128</v>
      </c>
      <c r="B11" s="11" t="s">
        <v>124</v>
      </c>
      <c r="C11" s="2" t="s">
        <v>46</v>
      </c>
      <c r="D11" s="4" t="s">
        <v>129</v>
      </c>
      <c r="E11" s="5"/>
      <c r="F11" s="2" t="s">
        <v>48</v>
      </c>
      <c r="G11" s="8" t="s">
        <v>49</v>
      </c>
      <c r="H11" s="2" t="s">
        <v>21</v>
      </c>
    </row>
    <row r="12" customFormat="false" ht="15" hidden="false" customHeight="false" outlineLevel="0" collapsed="false">
      <c r="A12" s="2" t="s">
        <v>131</v>
      </c>
      <c r="B12" s="11" t="s">
        <v>124</v>
      </c>
      <c r="C12" s="2" t="s">
        <v>63</v>
      </c>
      <c r="D12" s="4" t="s">
        <v>132</v>
      </c>
      <c r="E12" s="5"/>
      <c r="F12" s="2" t="s">
        <v>15</v>
      </c>
      <c r="G12" s="8" t="s">
        <v>49</v>
      </c>
      <c r="H12" s="2" t="s">
        <v>21</v>
      </c>
    </row>
    <row r="13" customFormat="false" ht="15" hidden="false" customHeight="false" outlineLevel="0" collapsed="false">
      <c r="A13" s="2" t="s">
        <v>139</v>
      </c>
      <c r="B13" s="12" t="s">
        <v>140</v>
      </c>
      <c r="C13" s="2" t="s">
        <v>63</v>
      </c>
      <c r="D13" s="4" t="s">
        <v>141</v>
      </c>
      <c r="E13" s="5"/>
      <c r="F13" s="2" t="s">
        <v>48</v>
      </c>
      <c r="G13" s="9" t="s">
        <v>68</v>
      </c>
      <c r="H13" s="2" t="s">
        <v>21</v>
      </c>
    </row>
    <row r="14" customFormat="false" ht="15" hidden="false" customHeight="false" outlineLevel="0" collapsed="false">
      <c r="A14" s="2" t="s">
        <v>143</v>
      </c>
      <c r="B14" s="12" t="s">
        <v>140</v>
      </c>
      <c r="C14" s="2" t="s">
        <v>63</v>
      </c>
      <c r="D14" s="4" t="s">
        <v>144</v>
      </c>
      <c r="E14" s="5"/>
      <c r="F14" s="2" t="s">
        <v>48</v>
      </c>
      <c r="G14" s="6" t="s">
        <v>16</v>
      </c>
      <c r="H14" s="2" t="s">
        <v>21</v>
      </c>
    </row>
    <row r="15" customFormat="false" ht="15" hidden="false" customHeight="false" outlineLevel="0" collapsed="false">
      <c r="A15" s="2" t="s">
        <v>151</v>
      </c>
      <c r="B15" s="13" t="s">
        <v>152</v>
      </c>
      <c r="C15" s="2" t="s">
        <v>153</v>
      </c>
      <c r="D15" s="4" t="s">
        <v>154</v>
      </c>
      <c r="E15" s="5"/>
      <c r="F15" s="2" t="s">
        <v>15</v>
      </c>
      <c r="G15" s="8" t="s">
        <v>49</v>
      </c>
      <c r="H15" s="2" t="s">
        <v>21</v>
      </c>
    </row>
    <row r="16" customFormat="false" ht="15" hidden="false" customHeight="false" outlineLevel="0" collapsed="false">
      <c r="A16" s="2" t="s">
        <v>155</v>
      </c>
      <c r="B16" s="13" t="s">
        <v>152</v>
      </c>
      <c r="C16" s="2" t="s">
        <v>153</v>
      </c>
      <c r="D16" s="4" t="s">
        <v>156</v>
      </c>
      <c r="E16" s="5"/>
      <c r="F16" s="2" t="s">
        <v>15</v>
      </c>
      <c r="G16" s="8" t="s">
        <v>49</v>
      </c>
      <c r="H16" s="2" t="s">
        <v>21</v>
      </c>
    </row>
    <row r="17" customFormat="false" ht="15" hidden="false" customHeight="false" outlineLevel="0" collapsed="false">
      <c r="A17" s="2" t="s">
        <v>157</v>
      </c>
      <c r="B17" s="13" t="s">
        <v>152</v>
      </c>
      <c r="C17" s="2" t="s">
        <v>153</v>
      </c>
      <c r="D17" s="4" t="s">
        <v>158</v>
      </c>
      <c r="E17" s="5"/>
      <c r="F17" s="2" t="s">
        <v>15</v>
      </c>
      <c r="G17" s="8" t="s">
        <v>49</v>
      </c>
      <c r="H17" s="2" t="s">
        <v>21</v>
      </c>
    </row>
    <row r="18" customFormat="false" ht="15" hidden="false" customHeight="false" outlineLevel="0" collapsed="false">
      <c r="A18" s="2" t="s">
        <v>159</v>
      </c>
      <c r="B18" s="13" t="s">
        <v>152</v>
      </c>
      <c r="C18" s="2" t="s">
        <v>153</v>
      </c>
      <c r="D18" s="4" t="s">
        <v>160</v>
      </c>
      <c r="E18" s="5"/>
      <c r="F18" s="2" t="s">
        <v>15</v>
      </c>
      <c r="G18" s="8" t="s">
        <v>49</v>
      </c>
      <c r="H18" s="2" t="s">
        <v>21</v>
      </c>
    </row>
    <row r="19" customFormat="false" ht="15" hidden="false" customHeight="false" outlineLevel="0" collapsed="false">
      <c r="A19" s="2" t="s">
        <v>161</v>
      </c>
      <c r="B19" s="13" t="s">
        <v>152</v>
      </c>
      <c r="C19" s="2" t="s">
        <v>153</v>
      </c>
      <c r="D19" s="4" t="s">
        <v>162</v>
      </c>
      <c r="E19" s="5"/>
      <c r="F19" s="2" t="s">
        <v>15</v>
      </c>
      <c r="G19" s="8" t="s">
        <v>49</v>
      </c>
      <c r="H19" s="2" t="s">
        <v>21</v>
      </c>
    </row>
    <row r="20" customFormat="false" ht="15" hidden="false" customHeight="false" outlineLevel="0" collapsed="false">
      <c r="A20" s="2" t="s">
        <v>163</v>
      </c>
      <c r="B20" s="13" t="s">
        <v>152</v>
      </c>
      <c r="C20" s="2" t="s">
        <v>153</v>
      </c>
      <c r="D20" s="4" t="s">
        <v>164</v>
      </c>
      <c r="E20" s="5"/>
      <c r="F20" s="2" t="s">
        <v>15</v>
      </c>
      <c r="G20" s="8" t="s">
        <v>49</v>
      </c>
      <c r="H20" s="2" t="s">
        <v>21</v>
      </c>
    </row>
    <row r="21" customFormat="false" ht="15" hidden="false" customHeight="false" outlineLevel="0" collapsed="false">
      <c r="A21" s="2" t="s">
        <v>165</v>
      </c>
      <c r="B21" s="13" t="s">
        <v>152</v>
      </c>
      <c r="C21" s="2" t="s">
        <v>166</v>
      </c>
      <c r="D21" s="4" t="s">
        <v>167</v>
      </c>
      <c r="E21" s="5"/>
      <c r="F21" s="2" t="s">
        <v>15</v>
      </c>
      <c r="G21" s="8" t="s">
        <v>49</v>
      </c>
      <c r="H21" s="2" t="s">
        <v>21</v>
      </c>
    </row>
    <row r="22" customFormat="false" ht="15" hidden="false" customHeight="false" outlineLevel="0" collapsed="false">
      <c r="A22" s="2" t="s">
        <v>168</v>
      </c>
      <c r="B22" s="13" t="s">
        <v>152</v>
      </c>
      <c r="C22" s="2" t="s">
        <v>166</v>
      </c>
      <c r="D22" s="4" t="s">
        <v>169</v>
      </c>
      <c r="E22" s="5"/>
      <c r="F22" s="2" t="s">
        <v>15</v>
      </c>
      <c r="G22" s="8" t="s">
        <v>49</v>
      </c>
      <c r="H22" s="2" t="s">
        <v>21</v>
      </c>
    </row>
    <row r="23" customFormat="false" ht="15" hidden="false" customHeight="false" outlineLevel="0" collapsed="false">
      <c r="A23" s="2" t="s">
        <v>170</v>
      </c>
      <c r="B23" s="13" t="s">
        <v>152</v>
      </c>
      <c r="C23" s="2" t="s">
        <v>166</v>
      </c>
      <c r="D23" s="4" t="s">
        <v>171</v>
      </c>
      <c r="E23" s="5"/>
      <c r="F23" s="2" t="s">
        <v>15</v>
      </c>
      <c r="G23" s="8" t="s">
        <v>49</v>
      </c>
      <c r="H23" s="2" t="s">
        <v>21</v>
      </c>
    </row>
    <row r="24" customFormat="false" ht="15" hidden="false" customHeight="false" outlineLevel="0" collapsed="false">
      <c r="A24" s="2" t="s">
        <v>172</v>
      </c>
      <c r="B24" s="13" t="s">
        <v>152</v>
      </c>
      <c r="C24" s="2" t="s">
        <v>166</v>
      </c>
      <c r="D24" s="4" t="s">
        <v>173</v>
      </c>
      <c r="E24" s="5"/>
      <c r="F24" s="2" t="s">
        <v>15</v>
      </c>
      <c r="G24" s="8" t="s">
        <v>49</v>
      </c>
      <c r="H24" s="2" t="s">
        <v>21</v>
      </c>
    </row>
    <row r="25" customFormat="false" ht="15" hidden="false" customHeight="false" outlineLevel="0" collapsed="false">
      <c r="A25" s="2" t="s">
        <v>174</v>
      </c>
      <c r="B25" s="13" t="s">
        <v>152</v>
      </c>
      <c r="C25" s="2" t="s">
        <v>166</v>
      </c>
      <c r="D25" s="4" t="s">
        <v>175</v>
      </c>
      <c r="E25" s="5"/>
      <c r="F25" s="2" t="s">
        <v>15</v>
      </c>
      <c r="G25" s="8" t="s">
        <v>49</v>
      </c>
      <c r="H25" s="2" t="s">
        <v>21</v>
      </c>
    </row>
    <row r="26" customFormat="false" ht="15" hidden="false" customHeight="false" outlineLevel="0" collapsed="false">
      <c r="A26" s="2" t="s">
        <v>176</v>
      </c>
      <c r="B26" s="13" t="s">
        <v>152</v>
      </c>
      <c r="C26" s="2" t="s">
        <v>177</v>
      </c>
      <c r="D26" s="4" t="s">
        <v>178</v>
      </c>
      <c r="E26" s="5"/>
      <c r="F26" s="2" t="s">
        <v>15</v>
      </c>
      <c r="G26" s="6" t="s">
        <v>16</v>
      </c>
      <c r="H26" s="2" t="s">
        <v>21</v>
      </c>
    </row>
    <row r="27" customFormat="false" ht="15" hidden="false" customHeight="false" outlineLevel="0" collapsed="false">
      <c r="A27" s="2" t="s">
        <v>179</v>
      </c>
      <c r="B27" s="13" t="s">
        <v>152</v>
      </c>
      <c r="C27" s="2" t="s">
        <v>177</v>
      </c>
      <c r="D27" s="4" t="s">
        <v>180</v>
      </c>
      <c r="E27" s="5"/>
      <c r="F27" s="2" t="s">
        <v>15</v>
      </c>
      <c r="G27" s="6" t="s">
        <v>16</v>
      </c>
      <c r="H27" s="2" t="s">
        <v>21</v>
      </c>
    </row>
    <row r="28" customFormat="false" ht="15" hidden="false" customHeight="false" outlineLevel="0" collapsed="false">
      <c r="A28" s="2" t="s">
        <v>181</v>
      </c>
      <c r="B28" s="13" t="s">
        <v>152</v>
      </c>
      <c r="C28" s="2" t="s">
        <v>177</v>
      </c>
      <c r="D28" s="4" t="s">
        <v>182</v>
      </c>
      <c r="E28" s="5"/>
      <c r="F28" s="2" t="s">
        <v>15</v>
      </c>
      <c r="G28" s="6" t="s">
        <v>16</v>
      </c>
      <c r="H28" s="2" t="s">
        <v>21</v>
      </c>
    </row>
    <row r="29" customFormat="false" ht="15" hidden="false" customHeight="false" outlineLevel="0" collapsed="false">
      <c r="A29" s="2" t="s">
        <v>183</v>
      </c>
      <c r="B29" s="13" t="s">
        <v>152</v>
      </c>
      <c r="C29" s="2" t="s">
        <v>177</v>
      </c>
      <c r="D29" s="4" t="s">
        <v>184</v>
      </c>
      <c r="E29" s="5"/>
      <c r="F29" s="2" t="s">
        <v>15</v>
      </c>
      <c r="G29" s="6" t="s">
        <v>16</v>
      </c>
      <c r="H29" s="2" t="s">
        <v>21</v>
      </c>
    </row>
    <row r="30" customFormat="false" ht="15" hidden="false" customHeight="false" outlineLevel="0" collapsed="false">
      <c r="A30" s="2" t="s">
        <v>185</v>
      </c>
      <c r="B30" s="13" t="s">
        <v>152</v>
      </c>
      <c r="C30" s="2" t="s">
        <v>177</v>
      </c>
      <c r="D30" s="4" t="s">
        <v>186</v>
      </c>
      <c r="E30" s="5"/>
      <c r="F30" s="2" t="s">
        <v>15</v>
      </c>
      <c r="G30" s="6" t="s">
        <v>16</v>
      </c>
      <c r="H30" s="2" t="s">
        <v>21</v>
      </c>
    </row>
    <row r="31" customFormat="false" ht="15" hidden="false" customHeight="false" outlineLevel="0" collapsed="false">
      <c r="A31" s="2" t="s">
        <v>187</v>
      </c>
      <c r="B31" s="13" t="s">
        <v>152</v>
      </c>
      <c r="C31" s="2" t="s">
        <v>188</v>
      </c>
      <c r="D31" s="4" t="s">
        <v>189</v>
      </c>
      <c r="E31" s="5"/>
      <c r="F31" s="2" t="s">
        <v>15</v>
      </c>
      <c r="G31" s="8" t="s">
        <v>49</v>
      </c>
      <c r="H31" s="2" t="s">
        <v>21</v>
      </c>
    </row>
    <row r="32" customFormat="false" ht="15" hidden="false" customHeight="false" outlineLevel="0" collapsed="false">
      <c r="A32" s="2" t="s">
        <v>190</v>
      </c>
      <c r="B32" s="13" t="s">
        <v>152</v>
      </c>
      <c r="C32" s="2" t="s">
        <v>188</v>
      </c>
      <c r="D32" s="4" t="s">
        <v>191</v>
      </c>
      <c r="E32" s="5"/>
      <c r="F32" s="2" t="s">
        <v>15</v>
      </c>
      <c r="G32" s="8" t="s">
        <v>49</v>
      </c>
      <c r="H32" s="2" t="s">
        <v>21</v>
      </c>
    </row>
    <row r="33" customFormat="false" ht="15" hidden="false" customHeight="false" outlineLevel="0" collapsed="false">
      <c r="A33" s="2" t="s">
        <v>192</v>
      </c>
      <c r="B33" s="13" t="s">
        <v>152</v>
      </c>
      <c r="C33" s="2" t="s">
        <v>188</v>
      </c>
      <c r="D33" s="4" t="s">
        <v>193</v>
      </c>
      <c r="E33" s="5"/>
      <c r="F33" s="2" t="s">
        <v>15</v>
      </c>
      <c r="G33" s="8" t="s">
        <v>49</v>
      </c>
      <c r="H33" s="2" t="s">
        <v>21</v>
      </c>
    </row>
    <row r="34" customFormat="false" ht="15" hidden="false" customHeight="false" outlineLevel="0" collapsed="false">
      <c r="A34" s="2" t="s">
        <v>194</v>
      </c>
      <c r="B34" s="13" t="s">
        <v>152</v>
      </c>
      <c r="C34" s="2" t="s">
        <v>188</v>
      </c>
      <c r="D34" s="4" t="s">
        <v>195</v>
      </c>
      <c r="E34" s="5"/>
      <c r="F34" s="2" t="s">
        <v>15</v>
      </c>
      <c r="G34" s="8" t="s">
        <v>49</v>
      </c>
      <c r="H34" s="2" t="s">
        <v>21</v>
      </c>
    </row>
    <row r="35" customFormat="false" ht="15" hidden="false" customHeight="false" outlineLevel="0" collapsed="false">
      <c r="A35" s="2" t="s">
        <v>196</v>
      </c>
      <c r="B35" s="13" t="s">
        <v>152</v>
      </c>
      <c r="C35" s="2" t="s">
        <v>188</v>
      </c>
      <c r="D35" s="4" t="s">
        <v>197</v>
      </c>
      <c r="E35" s="5"/>
      <c r="F35" s="2" t="s">
        <v>15</v>
      </c>
      <c r="G35" s="8" t="s">
        <v>49</v>
      </c>
      <c r="H35" s="2" t="s">
        <v>21</v>
      </c>
    </row>
    <row r="36" customFormat="false" ht="15" hidden="false" customHeight="false" outlineLevel="0" collapsed="false">
      <c r="A36" s="2" t="s">
        <v>198</v>
      </c>
      <c r="B36" s="13" t="s">
        <v>152</v>
      </c>
      <c r="C36" s="2" t="s">
        <v>199</v>
      </c>
      <c r="D36" s="4" t="s">
        <v>200</v>
      </c>
      <c r="E36" s="5"/>
      <c r="F36" s="2" t="s">
        <v>15</v>
      </c>
      <c r="G36" s="8" t="s">
        <v>49</v>
      </c>
      <c r="H36" s="2" t="s">
        <v>21</v>
      </c>
    </row>
    <row r="37" customFormat="false" ht="15" hidden="false" customHeight="false" outlineLevel="0" collapsed="false">
      <c r="A37" s="2" t="s">
        <v>201</v>
      </c>
      <c r="B37" s="13" t="s">
        <v>152</v>
      </c>
      <c r="C37" s="2" t="s">
        <v>199</v>
      </c>
      <c r="D37" s="4" t="s">
        <v>202</v>
      </c>
      <c r="E37" s="5"/>
      <c r="F37" s="2" t="s">
        <v>15</v>
      </c>
      <c r="G37" s="9" t="s">
        <v>68</v>
      </c>
      <c r="H37" s="2" t="s">
        <v>21</v>
      </c>
    </row>
    <row r="38" customFormat="false" ht="15" hidden="false" customHeight="false" outlineLevel="0" collapsed="false">
      <c r="A38" s="2" t="s">
        <v>203</v>
      </c>
      <c r="B38" s="13" t="s">
        <v>152</v>
      </c>
      <c r="C38" s="2" t="s">
        <v>199</v>
      </c>
      <c r="D38" s="4" t="s">
        <v>204</v>
      </c>
      <c r="E38" s="5"/>
      <c r="F38" s="2" t="s">
        <v>15</v>
      </c>
      <c r="G38" s="9" t="s">
        <v>68</v>
      </c>
      <c r="H38" s="2" t="s">
        <v>21</v>
      </c>
    </row>
    <row r="39" customFormat="false" ht="15" hidden="false" customHeight="false" outlineLevel="0" collapsed="false">
      <c r="A39" s="2" t="s">
        <v>205</v>
      </c>
      <c r="B39" s="13" t="s">
        <v>152</v>
      </c>
      <c r="C39" s="2" t="s">
        <v>199</v>
      </c>
      <c r="D39" s="4" t="s">
        <v>206</v>
      </c>
      <c r="E39" s="5"/>
      <c r="F39" s="2" t="s">
        <v>15</v>
      </c>
      <c r="G39" s="8" t="s">
        <v>49</v>
      </c>
      <c r="H39" s="2" t="s">
        <v>21</v>
      </c>
    </row>
    <row r="40" customFormat="false" ht="15" hidden="false" customHeight="false" outlineLevel="0" collapsed="false">
      <c r="A40" s="2" t="s">
        <v>207</v>
      </c>
      <c r="B40" s="13" t="s">
        <v>152</v>
      </c>
      <c r="C40" s="2" t="s">
        <v>199</v>
      </c>
      <c r="D40" s="4" t="s">
        <v>208</v>
      </c>
      <c r="E40" s="5"/>
      <c r="F40" s="2" t="s">
        <v>15</v>
      </c>
      <c r="G40" s="8" t="s">
        <v>49</v>
      </c>
      <c r="H40" s="2" t="s">
        <v>21</v>
      </c>
    </row>
    <row r="41" customFormat="false" ht="15" hidden="false" customHeight="false" outlineLevel="0" collapsed="false">
      <c r="A41" s="2" t="s">
        <v>209</v>
      </c>
      <c r="B41" s="13" t="s">
        <v>152</v>
      </c>
      <c r="C41" s="2" t="s">
        <v>199</v>
      </c>
      <c r="D41" s="4" t="s">
        <v>210</v>
      </c>
      <c r="E41" s="5"/>
      <c r="F41" s="2" t="s">
        <v>15</v>
      </c>
      <c r="G41" s="6" t="s">
        <v>16</v>
      </c>
      <c r="H41" s="2" t="s">
        <v>21</v>
      </c>
    </row>
    <row r="42" customFormat="false" ht="15" hidden="false" customHeight="false" outlineLevel="0" collapsed="false">
      <c r="A42" s="2" t="s">
        <v>211</v>
      </c>
      <c r="B42" s="13" t="s">
        <v>152</v>
      </c>
      <c r="C42" s="2" t="s">
        <v>212</v>
      </c>
      <c r="D42" s="4" t="s">
        <v>213</v>
      </c>
      <c r="E42" s="5"/>
      <c r="F42" s="2" t="s">
        <v>15</v>
      </c>
      <c r="G42" s="6" t="s">
        <v>16</v>
      </c>
      <c r="H42" s="2" t="s">
        <v>21</v>
      </c>
    </row>
    <row r="43" customFormat="false" ht="15" hidden="false" customHeight="false" outlineLevel="0" collapsed="false">
      <c r="A43" s="2" t="s">
        <v>214</v>
      </c>
      <c r="B43" s="13" t="s">
        <v>152</v>
      </c>
      <c r="C43" s="2" t="s">
        <v>212</v>
      </c>
      <c r="D43" s="4" t="s">
        <v>215</v>
      </c>
      <c r="E43" s="5"/>
      <c r="F43" s="2" t="s">
        <v>15</v>
      </c>
      <c r="G43" s="6" t="s">
        <v>16</v>
      </c>
      <c r="H43" s="2" t="s">
        <v>21</v>
      </c>
    </row>
    <row r="44" customFormat="false" ht="15" hidden="false" customHeight="false" outlineLevel="0" collapsed="false">
      <c r="A44" s="2" t="s">
        <v>216</v>
      </c>
      <c r="B44" s="13" t="s">
        <v>152</v>
      </c>
      <c r="C44" s="2" t="s">
        <v>212</v>
      </c>
      <c r="D44" s="4" t="s">
        <v>217</v>
      </c>
      <c r="E44" s="5"/>
      <c r="F44" s="2" t="s">
        <v>15</v>
      </c>
      <c r="G44" s="6" t="s">
        <v>16</v>
      </c>
      <c r="H44" s="2" t="s">
        <v>21</v>
      </c>
    </row>
    <row r="45" customFormat="false" ht="15" hidden="false" customHeight="false" outlineLevel="0" collapsed="false">
      <c r="A45" s="2" t="s">
        <v>218</v>
      </c>
      <c r="B45" s="13" t="s">
        <v>152</v>
      </c>
      <c r="C45" s="2" t="s">
        <v>212</v>
      </c>
      <c r="D45" s="4" t="s">
        <v>219</v>
      </c>
      <c r="E45" s="5"/>
      <c r="F45" s="2" t="s">
        <v>15</v>
      </c>
      <c r="G45" s="6" t="s">
        <v>16</v>
      </c>
      <c r="H45" s="2" t="s">
        <v>21</v>
      </c>
    </row>
    <row r="46" customFormat="false" ht="15" hidden="false" customHeight="false" outlineLevel="0" collapsed="false">
      <c r="A46" s="2" t="s">
        <v>220</v>
      </c>
      <c r="B46" s="13" t="s">
        <v>152</v>
      </c>
      <c r="C46" s="2" t="s">
        <v>221</v>
      </c>
      <c r="D46" s="4" t="s">
        <v>222</v>
      </c>
      <c r="E46" s="5"/>
      <c r="F46" s="2" t="s">
        <v>15</v>
      </c>
      <c r="G46" s="6" t="s">
        <v>16</v>
      </c>
      <c r="H46" s="2" t="s">
        <v>21</v>
      </c>
    </row>
    <row r="47" customFormat="false" ht="15" hidden="false" customHeight="false" outlineLevel="0" collapsed="false">
      <c r="A47" s="2" t="s">
        <v>223</v>
      </c>
      <c r="B47" s="13" t="s">
        <v>152</v>
      </c>
      <c r="C47" s="2" t="s">
        <v>221</v>
      </c>
      <c r="D47" s="4" t="s">
        <v>224</v>
      </c>
      <c r="E47" s="5"/>
      <c r="F47" s="2" t="s">
        <v>15</v>
      </c>
      <c r="G47" s="6" t="s">
        <v>16</v>
      </c>
      <c r="H47" s="2" t="s">
        <v>21</v>
      </c>
    </row>
    <row r="48" customFormat="false" ht="15" hidden="false" customHeight="false" outlineLevel="0" collapsed="false">
      <c r="A48" s="2" t="s">
        <v>225</v>
      </c>
      <c r="B48" s="13" t="s">
        <v>152</v>
      </c>
      <c r="C48" s="2" t="s">
        <v>221</v>
      </c>
      <c r="D48" s="4" t="s">
        <v>226</v>
      </c>
      <c r="E48" s="5"/>
      <c r="F48" s="2" t="s">
        <v>15</v>
      </c>
      <c r="G48" s="6" t="s">
        <v>16</v>
      </c>
      <c r="H48" s="2" t="s">
        <v>21</v>
      </c>
    </row>
    <row r="49" customFormat="false" ht="15" hidden="false" customHeight="false" outlineLevel="0" collapsed="false">
      <c r="A49" s="2" t="s">
        <v>227</v>
      </c>
      <c r="B49" s="13" t="s">
        <v>152</v>
      </c>
      <c r="C49" s="2" t="s">
        <v>221</v>
      </c>
      <c r="D49" s="4" t="s">
        <v>228</v>
      </c>
      <c r="E49" s="5"/>
      <c r="F49" s="2" t="s">
        <v>15</v>
      </c>
      <c r="G49" s="6" t="s">
        <v>16</v>
      </c>
      <c r="H49" s="2" t="s">
        <v>21</v>
      </c>
    </row>
    <row r="50" customFormat="false" ht="15" hidden="false" customHeight="false" outlineLevel="0" collapsed="false">
      <c r="A50" s="2" t="s">
        <v>229</v>
      </c>
      <c r="B50" s="13" t="s">
        <v>152</v>
      </c>
      <c r="C50" s="2" t="s">
        <v>230</v>
      </c>
      <c r="D50" s="4" t="s">
        <v>231</v>
      </c>
      <c r="E50" s="5"/>
      <c r="F50" s="2" t="s">
        <v>15</v>
      </c>
      <c r="G50" s="8" t="s">
        <v>49</v>
      </c>
      <c r="H50" s="2" t="s">
        <v>21</v>
      </c>
    </row>
    <row r="51" customFormat="false" ht="15" hidden="false" customHeight="false" outlineLevel="0" collapsed="false">
      <c r="A51" s="2" t="s">
        <v>232</v>
      </c>
      <c r="B51" s="13" t="s">
        <v>152</v>
      </c>
      <c r="C51" s="2" t="s">
        <v>230</v>
      </c>
      <c r="D51" s="4" t="s">
        <v>233</v>
      </c>
      <c r="E51" s="5"/>
      <c r="F51" s="2" t="s">
        <v>15</v>
      </c>
      <c r="G51" s="8" t="s">
        <v>49</v>
      </c>
      <c r="H51" s="2" t="s">
        <v>21</v>
      </c>
    </row>
    <row r="52" customFormat="false" ht="15" hidden="false" customHeight="false" outlineLevel="0" collapsed="false">
      <c r="A52" s="2" t="s">
        <v>234</v>
      </c>
      <c r="B52" s="13" t="s">
        <v>152</v>
      </c>
      <c r="C52" s="2" t="s">
        <v>230</v>
      </c>
      <c r="D52" s="4" t="s">
        <v>235</v>
      </c>
      <c r="E52" s="5"/>
      <c r="F52" s="2" t="s">
        <v>15</v>
      </c>
      <c r="G52" s="8" t="s">
        <v>49</v>
      </c>
      <c r="H52" s="2" t="s">
        <v>21</v>
      </c>
    </row>
    <row r="53" customFormat="false" ht="15" hidden="false" customHeight="false" outlineLevel="0" collapsed="false">
      <c r="A53" s="2" t="s">
        <v>236</v>
      </c>
      <c r="B53" s="13" t="s">
        <v>152</v>
      </c>
      <c r="C53" s="2" t="s">
        <v>230</v>
      </c>
      <c r="D53" s="4" t="s">
        <v>237</v>
      </c>
      <c r="E53" s="5"/>
      <c r="F53" s="2" t="s">
        <v>15</v>
      </c>
      <c r="G53" s="8" t="s">
        <v>49</v>
      </c>
      <c r="H53" s="2" t="s">
        <v>21</v>
      </c>
    </row>
    <row r="54" customFormat="false" ht="15" hidden="false" customHeight="false" outlineLevel="0" collapsed="false">
      <c r="A54" s="2" t="s">
        <v>238</v>
      </c>
      <c r="B54" s="13" t="s">
        <v>152</v>
      </c>
      <c r="C54" s="2" t="s">
        <v>230</v>
      </c>
      <c r="D54" s="4" t="s">
        <v>239</v>
      </c>
      <c r="E54" s="5"/>
      <c r="F54" s="2" t="s">
        <v>15</v>
      </c>
      <c r="G54" s="9" t="s">
        <v>68</v>
      </c>
      <c r="H54" s="2" t="s">
        <v>21</v>
      </c>
    </row>
    <row r="55" customFormat="false" ht="15" hidden="false" customHeight="false" outlineLevel="0" collapsed="false">
      <c r="A55" s="2" t="s">
        <v>240</v>
      </c>
      <c r="B55" s="13" t="s">
        <v>152</v>
      </c>
      <c r="C55" s="2" t="s">
        <v>230</v>
      </c>
      <c r="D55" s="4" t="s">
        <v>241</v>
      </c>
      <c r="E55" s="5"/>
      <c r="F55" s="2" t="s">
        <v>15</v>
      </c>
      <c r="G55" s="9" t="s">
        <v>68</v>
      </c>
      <c r="H55" s="2" t="s">
        <v>21</v>
      </c>
    </row>
  </sheetData>
  <autoFilter ref="A1:H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150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customFormat="false" ht="23.85" hidden="false" customHeight="false" outlineLevel="0" collapsed="false">
      <c r="A2" s="2" t="s">
        <v>56</v>
      </c>
      <c r="B2" s="7" t="s">
        <v>45</v>
      </c>
      <c r="C2" s="2" t="s">
        <v>46</v>
      </c>
      <c r="D2" s="4" t="s">
        <v>57</v>
      </c>
      <c r="E2" s="5" t="n">
        <v>3</v>
      </c>
      <c r="F2" s="2" t="s">
        <v>58</v>
      </c>
      <c r="G2" s="6" t="s">
        <v>16</v>
      </c>
      <c r="H2" s="2" t="s">
        <v>21</v>
      </c>
    </row>
    <row r="3" customFormat="false" ht="23.85" hidden="false" customHeight="false" outlineLevel="0" collapsed="false">
      <c r="A3" s="2" t="s">
        <v>60</v>
      </c>
      <c r="B3" s="7" t="s">
        <v>45</v>
      </c>
      <c r="C3" s="2" t="s">
        <v>46</v>
      </c>
      <c r="D3" s="4" t="s">
        <v>61</v>
      </c>
      <c r="E3" s="5" t="n">
        <v>8</v>
      </c>
      <c r="F3" s="2" t="s">
        <v>48</v>
      </c>
      <c r="G3" s="6" t="s">
        <v>16</v>
      </c>
      <c r="H3" s="2" t="s">
        <v>21</v>
      </c>
    </row>
    <row r="4" customFormat="false" ht="23.85" hidden="false" customHeight="false" outlineLevel="0" collapsed="false">
      <c r="A4" s="2" t="s">
        <v>78</v>
      </c>
      <c r="B4" s="7" t="s">
        <v>45</v>
      </c>
      <c r="C4" s="2" t="s">
        <v>63</v>
      </c>
      <c r="D4" s="4" t="s">
        <v>79</v>
      </c>
      <c r="E4" s="5" t="n">
        <v>2</v>
      </c>
      <c r="F4" s="2" t="s">
        <v>58</v>
      </c>
      <c r="G4" s="6" t="s">
        <v>16</v>
      </c>
      <c r="H4" s="2" t="s">
        <v>21</v>
      </c>
    </row>
    <row r="5" customFormat="false" ht="23.85" hidden="false" customHeight="false" outlineLevel="0" collapsed="false">
      <c r="A5" s="2" t="s">
        <v>80</v>
      </c>
      <c r="B5" s="7" t="s">
        <v>45</v>
      </c>
      <c r="C5" s="2" t="s">
        <v>81</v>
      </c>
      <c r="D5" s="4" t="s">
        <v>82</v>
      </c>
      <c r="E5" s="5" t="n">
        <v>5</v>
      </c>
      <c r="F5" s="2" t="s">
        <v>48</v>
      </c>
      <c r="G5" s="6" t="s">
        <v>16</v>
      </c>
      <c r="H5" s="2" t="s">
        <v>31</v>
      </c>
    </row>
    <row r="6" customFormat="false" ht="23.85" hidden="false" customHeight="false" outlineLevel="0" collapsed="false">
      <c r="A6" s="2" t="s">
        <v>83</v>
      </c>
      <c r="B6" s="7" t="s">
        <v>45</v>
      </c>
      <c r="C6" s="2" t="s">
        <v>81</v>
      </c>
      <c r="D6" s="4" t="s">
        <v>84</v>
      </c>
      <c r="E6" s="5" t="n">
        <v>5</v>
      </c>
      <c r="F6" s="2" t="s">
        <v>48</v>
      </c>
      <c r="G6" s="6" t="s">
        <v>16</v>
      </c>
      <c r="H6" s="2" t="s">
        <v>31</v>
      </c>
    </row>
    <row r="7" customFormat="false" ht="23.85" hidden="false" customHeight="false" outlineLevel="0" collapsed="false">
      <c r="A7" s="2" t="s">
        <v>86</v>
      </c>
      <c r="B7" s="7" t="s">
        <v>45</v>
      </c>
      <c r="C7" s="2" t="s">
        <v>81</v>
      </c>
      <c r="D7" s="4" t="s">
        <v>87</v>
      </c>
      <c r="E7" s="5" t="n">
        <v>3</v>
      </c>
      <c r="F7" s="2" t="s">
        <v>15</v>
      </c>
      <c r="G7" s="6" t="s">
        <v>16</v>
      </c>
      <c r="H7" s="2" t="s">
        <v>31</v>
      </c>
    </row>
    <row r="8" customFormat="false" ht="23.85" hidden="false" customHeight="false" outlineLevel="0" collapsed="false">
      <c r="A8" s="2" t="s">
        <v>89</v>
      </c>
      <c r="B8" s="7" t="s">
        <v>45</v>
      </c>
      <c r="C8" s="2" t="s">
        <v>81</v>
      </c>
      <c r="D8" s="4" t="s">
        <v>90</v>
      </c>
      <c r="E8" s="5" t="n">
        <v>8</v>
      </c>
      <c r="F8" s="2" t="s">
        <v>48</v>
      </c>
      <c r="G8" s="6" t="s">
        <v>16</v>
      </c>
      <c r="H8" s="2" t="s">
        <v>31</v>
      </c>
    </row>
    <row r="9" customFormat="false" ht="23.85" hidden="false" customHeight="false" outlineLevel="0" collapsed="false">
      <c r="A9" s="2" t="s">
        <v>91</v>
      </c>
      <c r="B9" s="7" t="s">
        <v>45</v>
      </c>
      <c r="C9" s="2" t="s">
        <v>81</v>
      </c>
      <c r="D9" s="4" t="s">
        <v>92</v>
      </c>
      <c r="E9" s="5" t="n">
        <v>3</v>
      </c>
      <c r="F9" s="2" t="s">
        <v>15</v>
      </c>
      <c r="G9" s="6" t="s">
        <v>16</v>
      </c>
      <c r="H9" s="2" t="s">
        <v>31</v>
      </c>
    </row>
    <row r="10" customFormat="false" ht="23.85" hidden="false" customHeight="false" outlineLevel="0" collapsed="false">
      <c r="A10" s="2" t="s">
        <v>93</v>
      </c>
      <c r="B10" s="7" t="s">
        <v>45</v>
      </c>
      <c r="C10" s="2" t="s">
        <v>94</v>
      </c>
      <c r="D10" s="4" t="s">
        <v>95</v>
      </c>
      <c r="E10" s="5" t="n">
        <v>5</v>
      </c>
      <c r="F10" s="2" t="s">
        <v>48</v>
      </c>
      <c r="G10" s="6" t="s">
        <v>16</v>
      </c>
      <c r="H10" s="2" t="s">
        <v>31</v>
      </c>
    </row>
    <row r="11" customFormat="false" ht="23.85" hidden="false" customHeight="false" outlineLevel="0" collapsed="false">
      <c r="A11" s="2" t="s">
        <v>96</v>
      </c>
      <c r="B11" s="7" t="s">
        <v>45</v>
      </c>
      <c r="C11" s="2" t="s">
        <v>94</v>
      </c>
      <c r="D11" s="4" t="s">
        <v>97</v>
      </c>
      <c r="E11" s="5" t="n">
        <v>3</v>
      </c>
      <c r="F11" s="2" t="s">
        <v>48</v>
      </c>
      <c r="G11" s="6" t="s">
        <v>16</v>
      </c>
      <c r="H11" s="2" t="s">
        <v>31</v>
      </c>
    </row>
    <row r="12" customFormat="false" ht="23.85" hidden="false" customHeight="false" outlineLevel="0" collapsed="false">
      <c r="A12" s="2" t="s">
        <v>98</v>
      </c>
      <c r="B12" s="7" t="s">
        <v>45</v>
      </c>
      <c r="C12" s="2" t="s">
        <v>94</v>
      </c>
      <c r="D12" s="4" t="s">
        <v>99</v>
      </c>
      <c r="E12" s="5" t="n">
        <v>3</v>
      </c>
      <c r="F12" s="2" t="s">
        <v>15</v>
      </c>
      <c r="G12" s="6" t="s">
        <v>16</v>
      </c>
      <c r="H12" s="2" t="s">
        <v>31</v>
      </c>
    </row>
    <row r="13" customFormat="false" ht="15" hidden="false" customHeight="false" outlineLevel="0" collapsed="false">
      <c r="A13" s="2" t="s">
        <v>133</v>
      </c>
      <c r="B13" s="11" t="s">
        <v>124</v>
      </c>
      <c r="C13" s="2" t="s">
        <v>63</v>
      </c>
      <c r="D13" s="4" t="s">
        <v>134</v>
      </c>
      <c r="E13" s="5"/>
      <c r="F13" s="2" t="s">
        <v>15</v>
      </c>
      <c r="G13" s="6" t="s">
        <v>16</v>
      </c>
      <c r="H13" s="2" t="s">
        <v>21</v>
      </c>
    </row>
    <row r="14" customFormat="false" ht="15" hidden="false" customHeight="false" outlineLevel="0" collapsed="false">
      <c r="A14" s="2" t="s">
        <v>135</v>
      </c>
      <c r="B14" s="11" t="s">
        <v>124</v>
      </c>
      <c r="C14" s="2" t="s">
        <v>81</v>
      </c>
      <c r="D14" s="4" t="s">
        <v>136</v>
      </c>
      <c r="E14" s="5"/>
      <c r="F14" s="2" t="s">
        <v>15</v>
      </c>
      <c r="G14" s="6" t="s">
        <v>16</v>
      </c>
      <c r="H14" s="2" t="s">
        <v>31</v>
      </c>
    </row>
    <row r="15" customFormat="false" ht="15" hidden="false" customHeight="false" outlineLevel="0" collapsed="false">
      <c r="A15" s="2" t="s">
        <v>242</v>
      </c>
      <c r="B15" s="13" t="s">
        <v>152</v>
      </c>
      <c r="C15" s="2" t="s">
        <v>243</v>
      </c>
      <c r="D15" s="4" t="s">
        <v>244</v>
      </c>
      <c r="E15" s="5"/>
      <c r="F15" s="2" t="s">
        <v>15</v>
      </c>
      <c r="G15" s="6" t="s">
        <v>16</v>
      </c>
      <c r="H15" s="2" t="s">
        <v>31</v>
      </c>
    </row>
    <row r="16" customFormat="false" ht="15" hidden="false" customHeight="false" outlineLevel="0" collapsed="false">
      <c r="A16" s="2" t="s">
        <v>245</v>
      </c>
      <c r="B16" s="13" t="s">
        <v>152</v>
      </c>
      <c r="C16" s="2" t="s">
        <v>243</v>
      </c>
      <c r="D16" s="4" t="s">
        <v>246</v>
      </c>
      <c r="E16" s="5"/>
      <c r="F16" s="2" t="s">
        <v>15</v>
      </c>
      <c r="G16" s="6" t="s">
        <v>16</v>
      </c>
      <c r="H16" s="2" t="s">
        <v>31</v>
      </c>
    </row>
    <row r="17" customFormat="false" ht="15" hidden="false" customHeight="false" outlineLevel="0" collapsed="false">
      <c r="A17" s="2" t="s">
        <v>247</v>
      </c>
      <c r="B17" s="13" t="s">
        <v>152</v>
      </c>
      <c r="C17" s="2" t="s">
        <v>243</v>
      </c>
      <c r="D17" s="4" t="s">
        <v>248</v>
      </c>
      <c r="E17" s="5"/>
      <c r="F17" s="2" t="s">
        <v>15</v>
      </c>
      <c r="G17" s="6" t="s">
        <v>16</v>
      </c>
      <c r="H17" s="2" t="s">
        <v>31</v>
      </c>
    </row>
    <row r="18" customFormat="false" ht="15" hidden="false" customHeight="false" outlineLevel="0" collapsed="false">
      <c r="A18" s="2" t="s">
        <v>249</v>
      </c>
      <c r="B18" s="13" t="s">
        <v>152</v>
      </c>
      <c r="C18" s="2" t="s">
        <v>243</v>
      </c>
      <c r="D18" s="4" t="s">
        <v>250</v>
      </c>
      <c r="E18" s="5"/>
      <c r="F18" s="2" t="s">
        <v>15</v>
      </c>
      <c r="G18" s="6" t="s">
        <v>16</v>
      </c>
      <c r="H18" s="2" t="s">
        <v>31</v>
      </c>
    </row>
    <row r="19" customFormat="false" ht="15" hidden="false" customHeight="false" outlineLevel="0" collapsed="false">
      <c r="A19" s="2" t="s">
        <v>251</v>
      </c>
      <c r="B19" s="13" t="s">
        <v>152</v>
      </c>
      <c r="C19" s="2" t="s">
        <v>252</v>
      </c>
      <c r="D19" s="4" t="s">
        <v>253</v>
      </c>
      <c r="E19" s="5"/>
      <c r="F19" s="2" t="s">
        <v>15</v>
      </c>
      <c r="G19" s="6" t="s">
        <v>16</v>
      </c>
      <c r="H19" s="2" t="s">
        <v>31</v>
      </c>
    </row>
    <row r="20" customFormat="false" ht="15" hidden="false" customHeight="false" outlineLevel="0" collapsed="false">
      <c r="A20" s="2" t="s">
        <v>254</v>
      </c>
      <c r="B20" s="13" t="s">
        <v>152</v>
      </c>
      <c r="C20" s="2" t="s">
        <v>252</v>
      </c>
      <c r="D20" s="4" t="s">
        <v>255</v>
      </c>
      <c r="E20" s="5"/>
      <c r="F20" s="2" t="s">
        <v>15</v>
      </c>
      <c r="G20" s="6" t="s">
        <v>16</v>
      </c>
      <c r="H20" s="2" t="s">
        <v>31</v>
      </c>
    </row>
    <row r="21" customFormat="false" ht="15" hidden="false" customHeight="false" outlineLevel="0" collapsed="false">
      <c r="A21" s="2" t="s">
        <v>256</v>
      </c>
      <c r="B21" s="13" t="s">
        <v>152</v>
      </c>
      <c r="C21" s="2" t="s">
        <v>252</v>
      </c>
      <c r="D21" s="4" t="s">
        <v>257</v>
      </c>
      <c r="E21" s="5"/>
      <c r="F21" s="2" t="s">
        <v>15</v>
      </c>
      <c r="G21" s="6" t="s">
        <v>16</v>
      </c>
      <c r="H21" s="2" t="s">
        <v>31</v>
      </c>
    </row>
    <row r="22" customFormat="false" ht="15" hidden="false" customHeight="false" outlineLevel="0" collapsed="false">
      <c r="A22" s="2" t="s">
        <v>258</v>
      </c>
      <c r="B22" s="13" t="s">
        <v>152</v>
      </c>
      <c r="C22" s="2" t="s">
        <v>252</v>
      </c>
      <c r="D22" s="4" t="s">
        <v>259</v>
      </c>
      <c r="E22" s="5"/>
      <c r="F22" s="2" t="s">
        <v>15</v>
      </c>
      <c r="G22" s="6" t="s">
        <v>16</v>
      </c>
      <c r="H22" s="2" t="s">
        <v>31</v>
      </c>
    </row>
    <row r="23" customFormat="false" ht="15" hidden="false" customHeight="false" outlineLevel="0" collapsed="false">
      <c r="A23" s="2" t="s">
        <v>260</v>
      </c>
      <c r="B23" s="13" t="s">
        <v>152</v>
      </c>
      <c r="C23" s="2" t="s">
        <v>261</v>
      </c>
      <c r="D23" s="4" t="s">
        <v>262</v>
      </c>
      <c r="E23" s="5"/>
      <c r="F23" s="2" t="s">
        <v>15</v>
      </c>
      <c r="G23" s="6" t="s">
        <v>16</v>
      </c>
      <c r="H23" s="2" t="s">
        <v>31</v>
      </c>
    </row>
    <row r="24" customFormat="false" ht="15" hidden="false" customHeight="false" outlineLevel="0" collapsed="false">
      <c r="A24" s="2" t="s">
        <v>263</v>
      </c>
      <c r="B24" s="13" t="s">
        <v>152</v>
      </c>
      <c r="C24" s="2" t="s">
        <v>261</v>
      </c>
      <c r="D24" s="4" t="s">
        <v>264</v>
      </c>
      <c r="E24" s="5"/>
      <c r="F24" s="2" t="s">
        <v>15</v>
      </c>
      <c r="G24" s="6" t="s">
        <v>16</v>
      </c>
      <c r="H24" s="2" t="s">
        <v>31</v>
      </c>
    </row>
    <row r="25" customFormat="false" ht="15" hidden="false" customHeight="false" outlineLevel="0" collapsed="false">
      <c r="A25" s="2" t="s">
        <v>265</v>
      </c>
      <c r="B25" s="13" t="s">
        <v>152</v>
      </c>
      <c r="C25" s="2" t="s">
        <v>261</v>
      </c>
      <c r="D25" s="4" t="s">
        <v>266</v>
      </c>
      <c r="E25" s="5"/>
      <c r="F25" s="2" t="s">
        <v>15</v>
      </c>
      <c r="G25" s="6" t="s">
        <v>16</v>
      </c>
      <c r="H25" s="2" t="s">
        <v>31</v>
      </c>
    </row>
    <row r="26" customFormat="false" ht="15" hidden="false" customHeight="false" outlineLevel="0" collapsed="false">
      <c r="A26" s="2" t="s">
        <v>267</v>
      </c>
      <c r="B26" s="13" t="s">
        <v>152</v>
      </c>
      <c r="C26" s="2" t="s">
        <v>261</v>
      </c>
      <c r="D26" s="4" t="s">
        <v>268</v>
      </c>
      <c r="E26" s="5"/>
      <c r="F26" s="2" t="s">
        <v>15</v>
      </c>
      <c r="G26" s="6" t="s">
        <v>16</v>
      </c>
      <c r="H26" s="2" t="s">
        <v>31</v>
      </c>
    </row>
    <row r="27" customFormat="false" ht="15" hidden="false" customHeight="false" outlineLevel="0" collapsed="false">
      <c r="A27" s="2" t="s">
        <v>269</v>
      </c>
      <c r="B27" s="13" t="s">
        <v>152</v>
      </c>
      <c r="C27" s="2" t="s">
        <v>270</v>
      </c>
      <c r="D27" s="4" t="s">
        <v>271</v>
      </c>
      <c r="E27" s="5"/>
      <c r="F27" s="2" t="s">
        <v>15</v>
      </c>
      <c r="G27" s="6" t="s">
        <v>16</v>
      </c>
      <c r="H27" s="2" t="s">
        <v>31</v>
      </c>
    </row>
    <row r="28" customFormat="false" ht="15" hidden="false" customHeight="false" outlineLevel="0" collapsed="false">
      <c r="A28" s="2" t="s">
        <v>272</v>
      </c>
      <c r="B28" s="13" t="s">
        <v>152</v>
      </c>
      <c r="C28" s="2" t="s">
        <v>270</v>
      </c>
      <c r="D28" s="4" t="s">
        <v>273</v>
      </c>
      <c r="E28" s="5"/>
      <c r="F28" s="2" t="s">
        <v>15</v>
      </c>
      <c r="G28" s="6" t="s">
        <v>16</v>
      </c>
      <c r="H28" s="2" t="s">
        <v>31</v>
      </c>
    </row>
    <row r="29" customFormat="false" ht="15" hidden="false" customHeight="false" outlineLevel="0" collapsed="false">
      <c r="A29" s="2" t="s">
        <v>274</v>
      </c>
      <c r="B29" s="13" t="s">
        <v>152</v>
      </c>
      <c r="C29" s="2" t="s">
        <v>270</v>
      </c>
      <c r="D29" s="4" t="s">
        <v>275</v>
      </c>
      <c r="E29" s="5"/>
      <c r="F29" s="2" t="s">
        <v>15</v>
      </c>
      <c r="G29" s="6" t="s">
        <v>16</v>
      </c>
      <c r="H29" s="2" t="s">
        <v>31</v>
      </c>
    </row>
    <row r="30" customFormat="false" ht="15" hidden="false" customHeight="false" outlineLevel="0" collapsed="false">
      <c r="A30" s="2" t="s">
        <v>276</v>
      </c>
      <c r="B30" s="13" t="s">
        <v>152</v>
      </c>
      <c r="C30" s="2" t="s">
        <v>270</v>
      </c>
      <c r="D30" s="4" t="s">
        <v>277</v>
      </c>
      <c r="E30" s="5"/>
      <c r="F30" s="2" t="s">
        <v>15</v>
      </c>
      <c r="G30" s="6" t="s">
        <v>16</v>
      </c>
      <c r="H30" s="2" t="s">
        <v>31</v>
      </c>
    </row>
    <row r="31" customFormat="false" ht="15" hidden="false" customHeight="false" outlineLevel="0" collapsed="false">
      <c r="A31" s="2" t="s">
        <v>278</v>
      </c>
      <c r="B31" s="13" t="s">
        <v>152</v>
      </c>
      <c r="C31" s="2" t="s">
        <v>279</v>
      </c>
      <c r="D31" s="4" t="s">
        <v>280</v>
      </c>
      <c r="E31" s="5"/>
      <c r="F31" s="2" t="s">
        <v>15</v>
      </c>
      <c r="G31" s="6" t="s">
        <v>16</v>
      </c>
      <c r="H31" s="2" t="s">
        <v>31</v>
      </c>
    </row>
    <row r="32" customFormat="false" ht="15" hidden="false" customHeight="false" outlineLevel="0" collapsed="false">
      <c r="A32" s="2" t="s">
        <v>281</v>
      </c>
      <c r="B32" s="13" t="s">
        <v>152</v>
      </c>
      <c r="C32" s="2" t="s">
        <v>279</v>
      </c>
      <c r="D32" s="4" t="s">
        <v>282</v>
      </c>
      <c r="E32" s="5"/>
      <c r="F32" s="2" t="s">
        <v>15</v>
      </c>
      <c r="G32" s="6" t="s">
        <v>16</v>
      </c>
      <c r="H32" s="2" t="s">
        <v>31</v>
      </c>
    </row>
    <row r="33" customFormat="false" ht="15" hidden="false" customHeight="false" outlineLevel="0" collapsed="false">
      <c r="A33" s="2" t="s">
        <v>283</v>
      </c>
      <c r="B33" s="13" t="s">
        <v>152</v>
      </c>
      <c r="C33" s="2" t="s">
        <v>279</v>
      </c>
      <c r="D33" s="4" t="s">
        <v>284</v>
      </c>
      <c r="E33" s="5"/>
      <c r="F33" s="2" t="s">
        <v>15</v>
      </c>
      <c r="G33" s="6" t="s">
        <v>16</v>
      </c>
      <c r="H33" s="2" t="s">
        <v>31</v>
      </c>
    </row>
    <row r="34" customFormat="false" ht="15" hidden="false" customHeight="false" outlineLevel="0" collapsed="false">
      <c r="A34" s="2" t="s">
        <v>285</v>
      </c>
      <c r="B34" s="13" t="s">
        <v>152</v>
      </c>
      <c r="C34" s="2" t="s">
        <v>279</v>
      </c>
      <c r="D34" s="4" t="s">
        <v>286</v>
      </c>
      <c r="E34" s="5"/>
      <c r="F34" s="2" t="s">
        <v>15</v>
      </c>
      <c r="G34" s="6" t="s">
        <v>16</v>
      </c>
      <c r="H34" s="2" t="s">
        <v>31</v>
      </c>
    </row>
    <row r="35" customFormat="false" ht="15" hidden="false" customHeight="false" outlineLevel="0" collapsed="false">
      <c r="A35" s="2" t="s">
        <v>287</v>
      </c>
      <c r="B35" s="13" t="s">
        <v>152</v>
      </c>
      <c r="C35" s="2" t="s">
        <v>288</v>
      </c>
      <c r="D35" s="4" t="s">
        <v>289</v>
      </c>
      <c r="E35" s="5"/>
      <c r="F35" s="2" t="s">
        <v>15</v>
      </c>
      <c r="G35" s="6" t="s">
        <v>16</v>
      </c>
      <c r="H35" s="2" t="s">
        <v>31</v>
      </c>
    </row>
    <row r="36" customFormat="false" ht="15" hidden="false" customHeight="false" outlineLevel="0" collapsed="false">
      <c r="A36" s="2" t="s">
        <v>290</v>
      </c>
      <c r="B36" s="13" t="s">
        <v>152</v>
      </c>
      <c r="C36" s="2" t="s">
        <v>288</v>
      </c>
      <c r="D36" s="4" t="s">
        <v>291</v>
      </c>
      <c r="E36" s="5"/>
      <c r="F36" s="2" t="s">
        <v>15</v>
      </c>
      <c r="G36" s="6" t="s">
        <v>16</v>
      </c>
      <c r="H36" s="2" t="s">
        <v>31</v>
      </c>
    </row>
    <row r="37" customFormat="false" ht="15" hidden="false" customHeight="false" outlineLevel="0" collapsed="false">
      <c r="A37" s="2" t="s">
        <v>292</v>
      </c>
      <c r="B37" s="13" t="s">
        <v>152</v>
      </c>
      <c r="C37" s="2" t="s">
        <v>288</v>
      </c>
      <c r="D37" s="4" t="s">
        <v>293</v>
      </c>
      <c r="E37" s="5"/>
      <c r="F37" s="2" t="s">
        <v>15</v>
      </c>
      <c r="G37" s="6" t="s">
        <v>16</v>
      </c>
      <c r="H37" s="2" t="s">
        <v>31</v>
      </c>
    </row>
    <row r="38" customFormat="false" ht="15" hidden="false" customHeight="false" outlineLevel="0" collapsed="false">
      <c r="A38" s="2" t="s">
        <v>294</v>
      </c>
      <c r="B38" s="13" t="s">
        <v>152</v>
      </c>
      <c r="C38" s="2" t="s">
        <v>288</v>
      </c>
      <c r="D38" s="4" t="s">
        <v>295</v>
      </c>
      <c r="E38" s="5"/>
      <c r="F38" s="2" t="s">
        <v>15</v>
      </c>
      <c r="G38" s="6" t="s">
        <v>16</v>
      </c>
      <c r="H38" s="2" t="s">
        <v>31</v>
      </c>
    </row>
    <row r="39" customFormat="false" ht="15" hidden="false" customHeight="false" outlineLevel="0" collapsed="false">
      <c r="A39" s="2" t="s">
        <v>296</v>
      </c>
      <c r="B39" s="13" t="s">
        <v>152</v>
      </c>
      <c r="C39" s="2" t="s">
        <v>297</v>
      </c>
      <c r="D39" s="4" t="s">
        <v>298</v>
      </c>
      <c r="E39" s="5"/>
      <c r="F39" s="2" t="s">
        <v>15</v>
      </c>
      <c r="G39" s="6" t="s">
        <v>16</v>
      </c>
      <c r="H39" s="2" t="s">
        <v>31</v>
      </c>
    </row>
    <row r="40" customFormat="false" ht="15" hidden="false" customHeight="false" outlineLevel="0" collapsed="false">
      <c r="A40" s="2" t="s">
        <v>299</v>
      </c>
      <c r="B40" s="13" t="s">
        <v>152</v>
      </c>
      <c r="C40" s="2" t="s">
        <v>297</v>
      </c>
      <c r="D40" s="4" t="s">
        <v>300</v>
      </c>
      <c r="E40" s="5"/>
      <c r="F40" s="2" t="s">
        <v>15</v>
      </c>
      <c r="G40" s="6" t="s">
        <v>16</v>
      </c>
      <c r="H40" s="2" t="s">
        <v>31</v>
      </c>
    </row>
    <row r="41" customFormat="false" ht="15" hidden="false" customHeight="false" outlineLevel="0" collapsed="false">
      <c r="A41" s="2" t="s">
        <v>301</v>
      </c>
      <c r="B41" s="13" t="s">
        <v>152</v>
      </c>
      <c r="C41" s="2" t="s">
        <v>297</v>
      </c>
      <c r="D41" s="4" t="s">
        <v>302</v>
      </c>
      <c r="E41" s="5"/>
      <c r="F41" s="2" t="s">
        <v>15</v>
      </c>
      <c r="G41" s="6" t="s">
        <v>16</v>
      </c>
      <c r="H41" s="2" t="s">
        <v>31</v>
      </c>
    </row>
    <row r="42" customFormat="false" ht="15" hidden="false" customHeight="false" outlineLevel="0" collapsed="false">
      <c r="A42" s="2" t="s">
        <v>303</v>
      </c>
      <c r="B42" s="13" t="s">
        <v>152</v>
      </c>
      <c r="C42" s="2" t="s">
        <v>297</v>
      </c>
      <c r="D42" s="4" t="s">
        <v>304</v>
      </c>
      <c r="E42" s="5"/>
      <c r="F42" s="2" t="s">
        <v>15</v>
      </c>
      <c r="G42" s="6" t="s">
        <v>16</v>
      </c>
      <c r="H42" s="2" t="s">
        <v>31</v>
      </c>
    </row>
  </sheetData>
  <autoFilter ref="A1:H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150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customFormat="false" ht="23.85" hidden="false" customHeight="false" outlineLevel="0" collapsed="false">
      <c r="A2" s="2" t="s">
        <v>100</v>
      </c>
      <c r="B2" s="7" t="s">
        <v>45</v>
      </c>
      <c r="C2" s="2" t="s">
        <v>94</v>
      </c>
      <c r="D2" s="4" t="s">
        <v>101</v>
      </c>
      <c r="E2" s="5" t="n">
        <v>8</v>
      </c>
      <c r="F2" s="2" t="s">
        <v>48</v>
      </c>
      <c r="G2" s="6" t="s">
        <v>16</v>
      </c>
      <c r="H2" s="2" t="s">
        <v>31</v>
      </c>
    </row>
    <row r="3" customFormat="false" ht="23.85" hidden="false" customHeight="false" outlineLevel="0" collapsed="false">
      <c r="A3" s="2" t="s">
        <v>103</v>
      </c>
      <c r="B3" s="7" t="s">
        <v>45</v>
      </c>
      <c r="C3" s="2" t="s">
        <v>94</v>
      </c>
      <c r="D3" s="4" t="s">
        <v>104</v>
      </c>
      <c r="E3" s="5" t="n">
        <v>5</v>
      </c>
      <c r="F3" s="2" t="s">
        <v>15</v>
      </c>
      <c r="G3" s="6" t="s">
        <v>16</v>
      </c>
      <c r="H3" s="2" t="s">
        <v>31</v>
      </c>
    </row>
    <row r="4" customFormat="false" ht="23.85" hidden="false" customHeight="false" outlineLevel="0" collapsed="false">
      <c r="A4" s="2" t="s">
        <v>105</v>
      </c>
      <c r="B4" s="7" t="s">
        <v>45</v>
      </c>
      <c r="C4" s="2" t="s">
        <v>106</v>
      </c>
      <c r="D4" s="4" t="s">
        <v>107</v>
      </c>
      <c r="E4" s="5" t="n">
        <v>5</v>
      </c>
      <c r="F4" s="2" t="s">
        <v>48</v>
      </c>
      <c r="G4" s="6" t="s">
        <v>16</v>
      </c>
      <c r="H4" s="2" t="s">
        <v>21</v>
      </c>
    </row>
    <row r="5" customFormat="false" ht="23.85" hidden="false" customHeight="false" outlineLevel="0" collapsed="false">
      <c r="A5" s="2" t="s">
        <v>108</v>
      </c>
      <c r="B5" s="7" t="s">
        <v>45</v>
      </c>
      <c r="C5" s="2" t="s">
        <v>106</v>
      </c>
      <c r="D5" s="4" t="s">
        <v>109</v>
      </c>
      <c r="E5" s="5" t="n">
        <v>5</v>
      </c>
      <c r="F5" s="2" t="s">
        <v>48</v>
      </c>
      <c r="G5" s="6" t="s">
        <v>16</v>
      </c>
      <c r="H5" s="2" t="s">
        <v>21</v>
      </c>
    </row>
    <row r="6" customFormat="false" ht="23.85" hidden="false" customHeight="false" outlineLevel="0" collapsed="false">
      <c r="A6" s="2" t="s">
        <v>110</v>
      </c>
      <c r="B6" s="7" t="s">
        <v>45</v>
      </c>
      <c r="C6" s="2" t="s">
        <v>106</v>
      </c>
      <c r="D6" s="4" t="s">
        <v>111</v>
      </c>
      <c r="E6" s="5" t="n">
        <v>3</v>
      </c>
      <c r="F6" s="2" t="s">
        <v>15</v>
      </c>
      <c r="G6" s="6" t="s">
        <v>16</v>
      </c>
      <c r="H6" s="2" t="s">
        <v>21</v>
      </c>
    </row>
    <row r="7" customFormat="false" ht="23.85" hidden="false" customHeight="false" outlineLevel="0" collapsed="false">
      <c r="A7" s="2" t="s">
        <v>112</v>
      </c>
      <c r="B7" s="7" t="s">
        <v>45</v>
      </c>
      <c r="C7" s="2" t="s">
        <v>106</v>
      </c>
      <c r="D7" s="4" t="s">
        <v>113</v>
      </c>
      <c r="E7" s="5" t="n">
        <v>5</v>
      </c>
      <c r="F7" s="2" t="s">
        <v>15</v>
      </c>
      <c r="G7" s="6" t="s">
        <v>16</v>
      </c>
      <c r="H7" s="2" t="s">
        <v>21</v>
      </c>
    </row>
    <row r="8" customFormat="false" ht="23.85" hidden="false" customHeight="false" outlineLevel="0" collapsed="false">
      <c r="A8" s="2" t="s">
        <v>114</v>
      </c>
      <c r="B8" s="7" t="s">
        <v>45</v>
      </c>
      <c r="C8" s="2" t="s">
        <v>115</v>
      </c>
      <c r="D8" s="4" t="s">
        <v>116</v>
      </c>
      <c r="E8" s="5" t="n">
        <v>5</v>
      </c>
      <c r="F8" s="2" t="s">
        <v>15</v>
      </c>
      <c r="G8" s="6" t="s">
        <v>16</v>
      </c>
      <c r="H8" s="2" t="s">
        <v>31</v>
      </c>
    </row>
    <row r="9" customFormat="false" ht="23.85" hidden="false" customHeight="false" outlineLevel="0" collapsed="false">
      <c r="A9" s="2" t="s">
        <v>117</v>
      </c>
      <c r="B9" s="7" t="s">
        <v>45</v>
      </c>
      <c r="C9" s="2" t="s">
        <v>115</v>
      </c>
      <c r="D9" s="4" t="s">
        <v>118</v>
      </c>
      <c r="E9" s="5" t="n">
        <v>5</v>
      </c>
      <c r="F9" s="2" t="s">
        <v>15</v>
      </c>
      <c r="G9" s="6" t="s">
        <v>16</v>
      </c>
      <c r="H9" s="2" t="s">
        <v>31</v>
      </c>
    </row>
    <row r="10" customFormat="false" ht="23.85" hidden="false" customHeight="false" outlineLevel="0" collapsed="false">
      <c r="A10" s="2" t="s">
        <v>119</v>
      </c>
      <c r="B10" s="7" t="s">
        <v>45</v>
      </c>
      <c r="C10" s="2" t="s">
        <v>115</v>
      </c>
      <c r="D10" s="4" t="s">
        <v>120</v>
      </c>
      <c r="E10" s="5" t="n">
        <v>8</v>
      </c>
      <c r="F10" s="2" t="s">
        <v>48</v>
      </c>
      <c r="G10" s="6" t="s">
        <v>16</v>
      </c>
      <c r="H10" s="2" t="s">
        <v>31</v>
      </c>
    </row>
    <row r="11" customFormat="false" ht="23.85" hidden="false" customHeight="false" outlineLevel="0" collapsed="false">
      <c r="A11" s="2" t="s">
        <v>121</v>
      </c>
      <c r="B11" s="7" t="s">
        <v>45</v>
      </c>
      <c r="C11" s="2" t="s">
        <v>115</v>
      </c>
      <c r="D11" s="4" t="s">
        <v>122</v>
      </c>
      <c r="E11" s="5" t="n">
        <v>8</v>
      </c>
      <c r="F11" s="2" t="s">
        <v>15</v>
      </c>
      <c r="G11" s="6" t="s">
        <v>16</v>
      </c>
      <c r="H11" s="2" t="s">
        <v>31</v>
      </c>
    </row>
    <row r="12" customFormat="false" ht="15" hidden="false" customHeight="false" outlineLevel="0" collapsed="false">
      <c r="A12" s="2" t="s">
        <v>137</v>
      </c>
      <c r="B12" s="11" t="s">
        <v>124</v>
      </c>
      <c r="C12" s="2" t="s">
        <v>115</v>
      </c>
      <c r="D12" s="4" t="s">
        <v>138</v>
      </c>
      <c r="E12" s="5"/>
      <c r="F12" s="2" t="s">
        <v>58</v>
      </c>
      <c r="G12" s="6" t="s">
        <v>16</v>
      </c>
      <c r="H12" s="2" t="s">
        <v>31</v>
      </c>
    </row>
    <row r="13" customFormat="false" ht="15" hidden="false" customHeight="false" outlineLevel="0" collapsed="false">
      <c r="A13" s="2" t="s">
        <v>305</v>
      </c>
      <c r="B13" s="13" t="s">
        <v>152</v>
      </c>
      <c r="C13" s="2" t="s">
        <v>306</v>
      </c>
      <c r="D13" s="4" t="s">
        <v>307</v>
      </c>
      <c r="E13" s="5"/>
      <c r="F13" s="2" t="s">
        <v>15</v>
      </c>
      <c r="G13" s="6" t="s">
        <v>16</v>
      </c>
      <c r="H13" s="2" t="s">
        <v>31</v>
      </c>
    </row>
    <row r="14" customFormat="false" ht="15" hidden="false" customHeight="false" outlineLevel="0" collapsed="false">
      <c r="A14" s="2" t="s">
        <v>308</v>
      </c>
      <c r="B14" s="13" t="s">
        <v>152</v>
      </c>
      <c r="C14" s="2" t="s">
        <v>306</v>
      </c>
      <c r="D14" s="4" t="s">
        <v>309</v>
      </c>
      <c r="E14" s="5"/>
      <c r="F14" s="2" t="s">
        <v>15</v>
      </c>
      <c r="G14" s="6" t="s">
        <v>16</v>
      </c>
      <c r="H14" s="2" t="s">
        <v>31</v>
      </c>
    </row>
    <row r="15" customFormat="false" ht="15" hidden="false" customHeight="false" outlineLevel="0" collapsed="false">
      <c r="A15" s="2" t="s">
        <v>310</v>
      </c>
      <c r="B15" s="13" t="s">
        <v>152</v>
      </c>
      <c r="C15" s="2" t="s">
        <v>306</v>
      </c>
      <c r="D15" s="4" t="s">
        <v>311</v>
      </c>
      <c r="E15" s="5"/>
      <c r="F15" s="2" t="s">
        <v>15</v>
      </c>
      <c r="G15" s="6" t="s">
        <v>16</v>
      </c>
      <c r="H15" s="2" t="s">
        <v>31</v>
      </c>
    </row>
    <row r="16" customFormat="false" ht="15" hidden="false" customHeight="false" outlineLevel="0" collapsed="false">
      <c r="A16" s="2" t="s">
        <v>312</v>
      </c>
      <c r="B16" s="13" t="s">
        <v>152</v>
      </c>
      <c r="C16" s="2" t="s">
        <v>306</v>
      </c>
      <c r="D16" s="4" t="s">
        <v>313</v>
      </c>
      <c r="E16" s="5"/>
      <c r="F16" s="2" t="s">
        <v>15</v>
      </c>
      <c r="G16" s="6" t="s">
        <v>16</v>
      </c>
      <c r="H16" s="2" t="s">
        <v>31</v>
      </c>
    </row>
    <row r="17" customFormat="false" ht="15" hidden="false" customHeight="false" outlineLevel="0" collapsed="false">
      <c r="A17" s="2" t="s">
        <v>314</v>
      </c>
      <c r="B17" s="13" t="s">
        <v>152</v>
      </c>
      <c r="C17" s="2" t="s">
        <v>315</v>
      </c>
      <c r="D17" s="4" t="s">
        <v>316</v>
      </c>
      <c r="E17" s="5"/>
      <c r="F17" s="2" t="s">
        <v>15</v>
      </c>
      <c r="G17" s="6" t="s">
        <v>16</v>
      </c>
      <c r="H17" s="2" t="s">
        <v>21</v>
      </c>
    </row>
    <row r="18" customFormat="false" ht="15" hidden="false" customHeight="false" outlineLevel="0" collapsed="false">
      <c r="A18" s="2" t="s">
        <v>317</v>
      </c>
      <c r="B18" s="13" t="s">
        <v>152</v>
      </c>
      <c r="C18" s="2" t="s">
        <v>315</v>
      </c>
      <c r="D18" s="4" t="s">
        <v>318</v>
      </c>
      <c r="E18" s="5"/>
      <c r="F18" s="2" t="s">
        <v>15</v>
      </c>
      <c r="G18" s="6" t="s">
        <v>16</v>
      </c>
      <c r="H18" s="2" t="s">
        <v>21</v>
      </c>
    </row>
    <row r="19" customFormat="false" ht="15" hidden="false" customHeight="false" outlineLevel="0" collapsed="false">
      <c r="A19" s="2" t="s">
        <v>319</v>
      </c>
      <c r="B19" s="13" t="s">
        <v>152</v>
      </c>
      <c r="C19" s="2" t="s">
        <v>315</v>
      </c>
      <c r="D19" s="4" t="s">
        <v>320</v>
      </c>
      <c r="E19" s="5"/>
      <c r="F19" s="2" t="s">
        <v>15</v>
      </c>
      <c r="G19" s="6" t="s">
        <v>16</v>
      </c>
      <c r="H19" s="2" t="s">
        <v>21</v>
      </c>
    </row>
  </sheetData>
  <autoFilter ref="A1:H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4" t="s">
        <v>321</v>
      </c>
    </row>
    <row r="3" customFormat="false" ht="15" hidden="false" customHeight="false" outlineLevel="0" collapsed="false">
      <c r="A3" s="15" t="s">
        <v>322</v>
      </c>
      <c r="B3" s="16" t="s">
        <v>323</v>
      </c>
    </row>
    <row r="4" customFormat="false" ht="15" hidden="false" customHeight="false" outlineLevel="0" collapsed="false">
      <c r="A4" s="15" t="s">
        <v>324</v>
      </c>
      <c r="B4" s="16" t="s">
        <v>325</v>
      </c>
    </row>
    <row r="5" customFormat="false" ht="15" hidden="false" customHeight="false" outlineLevel="0" collapsed="false">
      <c r="A5" s="15" t="s">
        <v>326</v>
      </c>
      <c r="B5" s="16" t="s">
        <v>327</v>
      </c>
    </row>
    <row r="6" customFormat="false" ht="15" hidden="false" customHeight="false" outlineLevel="0" collapsed="false">
      <c r="A6" s="15" t="s">
        <v>328</v>
      </c>
      <c r="B6" s="16" t="s">
        <v>329</v>
      </c>
    </row>
    <row r="7" customFormat="false" ht="15" hidden="false" customHeight="false" outlineLevel="0" collapsed="false">
      <c r="A7" s="15" t="s">
        <v>330</v>
      </c>
      <c r="B7" s="16" t="s">
        <v>331</v>
      </c>
    </row>
    <row r="9" customFormat="false" ht="16.15" hidden="false" customHeight="false" outlineLevel="0" collapsed="false">
      <c r="A9" s="17" t="s">
        <v>332</v>
      </c>
    </row>
    <row r="10" customFormat="false" ht="15" hidden="false" customHeight="false" outlineLevel="0" collapsed="false">
      <c r="A10" s="18" t="s">
        <v>333</v>
      </c>
      <c r="B10" s="18" t="s">
        <v>334</v>
      </c>
    </row>
    <row r="11" customFormat="false" ht="15" hidden="false" customHeight="false" outlineLevel="0" collapsed="false">
      <c r="A11" s="19" t="s">
        <v>13</v>
      </c>
      <c r="B11" s="20" t="n">
        <f aca="false">COUNTIF(Data!$B$2:$B$122,A11)</f>
        <v>6</v>
      </c>
    </row>
    <row r="12" customFormat="false" ht="15" hidden="false" customHeight="false" outlineLevel="0" collapsed="false">
      <c r="A12" s="19" t="s">
        <v>45</v>
      </c>
      <c r="B12" s="20" t="n">
        <f aca="false">COUNTIF(Data!$B$2:$B$122,A12)</f>
        <v>29</v>
      </c>
    </row>
    <row r="13" customFormat="false" ht="15" hidden="false" customHeight="false" outlineLevel="0" collapsed="false">
      <c r="A13" s="19" t="s">
        <v>124</v>
      </c>
      <c r="B13" s="20" t="n">
        <f aca="false">COUNTIF(Data!$B$2:$B$122,A13)</f>
        <v>6</v>
      </c>
    </row>
    <row r="14" customFormat="false" ht="15" hidden="false" customHeight="false" outlineLevel="0" collapsed="false">
      <c r="A14" s="19" t="s">
        <v>140</v>
      </c>
      <c r="B14" s="20" t="n">
        <f aca="false">COUNTIF(Data!$B$2:$B$122,A14)</f>
        <v>4</v>
      </c>
    </row>
    <row r="15" customFormat="false" ht="15" hidden="false" customHeight="false" outlineLevel="0" collapsed="false">
      <c r="A15" s="19" t="s">
        <v>152</v>
      </c>
      <c r="B15" s="20" t="n">
        <f aca="false">COUNTIF(Data!$B$2:$B$122,A15)</f>
        <v>76</v>
      </c>
    </row>
    <row r="16" customFormat="false" ht="15" hidden="false" customHeight="false" outlineLevel="0" collapsed="false">
      <c r="A16" s="21" t="s">
        <v>335</v>
      </c>
      <c r="B16" s="22" t="n">
        <f aca="false">SUM(B11:B15)</f>
        <v>121</v>
      </c>
    </row>
    <row r="18" customFormat="false" ht="16.15" hidden="false" customHeight="false" outlineLevel="0" collapsed="false">
      <c r="A18" s="17" t="s">
        <v>336</v>
      </c>
    </row>
    <row r="19" customFormat="false" ht="15" hidden="false" customHeight="false" outlineLevel="0" collapsed="false">
      <c r="A19" s="18" t="s">
        <v>6</v>
      </c>
      <c r="B19" s="18" t="s">
        <v>334</v>
      </c>
    </row>
    <row r="20" customFormat="false" ht="15" hidden="false" customHeight="false" outlineLevel="0" collapsed="false">
      <c r="A20" s="23" t="s">
        <v>16</v>
      </c>
      <c r="B20" s="20" t="n">
        <f aca="false">COUNTIF(Data!$C$2:$C$122,A20)</f>
        <v>85</v>
      </c>
    </row>
    <row r="21" customFormat="false" ht="15" hidden="false" customHeight="false" outlineLevel="0" collapsed="false">
      <c r="A21" s="24" t="s">
        <v>68</v>
      </c>
      <c r="B21" s="20" t="n">
        <f aca="false">COUNTIF(Data!$C$2:$C$122,A21)</f>
        <v>6</v>
      </c>
    </row>
    <row r="22" customFormat="false" ht="15" hidden="false" customHeight="false" outlineLevel="0" collapsed="false">
      <c r="A22" s="25" t="s">
        <v>76</v>
      </c>
      <c r="B22" s="20" t="n">
        <f aca="false">COUNTIF(Data!$C$2:$C$122,A22)</f>
        <v>1</v>
      </c>
    </row>
    <row r="23" customFormat="false" ht="15" hidden="false" customHeight="false" outlineLevel="0" collapsed="false">
      <c r="A23" s="26" t="s">
        <v>49</v>
      </c>
      <c r="B23" s="20" t="n">
        <f aca="false">COUNTIF(Data!$C$2:$C$122,A23)</f>
        <v>29</v>
      </c>
    </row>
    <row r="25" customFormat="false" ht="16.15" hidden="false" customHeight="false" outlineLevel="0" collapsed="false">
      <c r="A25" s="17" t="s">
        <v>337</v>
      </c>
    </row>
    <row r="26" customFormat="false" ht="15" hidden="false" customHeight="false" outlineLevel="0" collapsed="false">
      <c r="A26" s="18" t="s">
        <v>7</v>
      </c>
      <c r="B26" s="18" t="s">
        <v>338</v>
      </c>
      <c r="C26" s="18" t="s">
        <v>339</v>
      </c>
      <c r="D26" s="18" t="s">
        <v>340</v>
      </c>
      <c r="E26" s="18" t="s">
        <v>341</v>
      </c>
    </row>
    <row r="27" customFormat="false" ht="15" hidden="false" customHeight="false" outlineLevel="0" collapsed="false">
      <c r="A27" s="19" t="s">
        <v>50</v>
      </c>
      <c r="B27" s="20" t="n">
        <f aca="false">COUNTIF(Data!$D$2:$D$122,A27)</f>
        <v>54</v>
      </c>
      <c r="C27" s="20" t="n">
        <f aca="false">SUMIF(Data!$D$2:$D$122,A27,Data!$E$2:$E$122)</f>
        <v>34</v>
      </c>
      <c r="D27" s="20" t="n">
        <f aca="false">SUMIFS(Data!$E$2:$E$122,Data!$D$2:$D$122,A27,Data!$C$2:$C$122,"Done")</f>
        <v>13</v>
      </c>
      <c r="E27" s="27" t="n">
        <f aca="false">IFERROR(D27/C27,0)</f>
        <v>0.382352941176471</v>
      </c>
    </row>
    <row r="28" customFormat="false" ht="15" hidden="false" customHeight="false" outlineLevel="0" collapsed="false">
      <c r="A28" s="19" t="s">
        <v>59</v>
      </c>
      <c r="B28" s="20" t="n">
        <f aca="false">COUNTIF(Data!$D$2:$D$122,A28)</f>
        <v>41</v>
      </c>
      <c r="C28" s="20" t="n">
        <f aca="false">SUMIF(Data!$D$2:$D$122,A28,Data!$E$2:$E$122)</f>
        <v>48</v>
      </c>
      <c r="D28" s="20" t="n">
        <f aca="false">SUMIFS(Data!$E$2:$E$122,Data!$D$2:$D$122,A28,Data!$C$2:$C$122,"Done")</f>
        <v>0</v>
      </c>
      <c r="E28" s="27" t="n">
        <f aca="false">IFERROR(D28/C28,0)</f>
        <v>0</v>
      </c>
    </row>
    <row r="29" customFormat="false" ht="15" hidden="false" customHeight="false" outlineLevel="0" collapsed="false">
      <c r="A29" s="19" t="s">
        <v>102</v>
      </c>
      <c r="B29" s="20" t="n">
        <f aca="false">COUNTIF(Data!$D$2:$D$122,A29)</f>
        <v>18</v>
      </c>
      <c r="C29" s="20" t="n">
        <f aca="false">SUMIF(Data!$D$2:$D$122,A29,Data!$E$2:$E$122)</f>
        <v>57</v>
      </c>
      <c r="D29" s="20" t="n">
        <f aca="false">SUMIFS(Data!$E$2:$E$122,Data!$D$2:$D$122,A29,Data!$C$2:$C$122,"Done")</f>
        <v>0</v>
      </c>
      <c r="E29" s="27" t="n">
        <f aca="false">IFERROR(D29/C29,0)</f>
        <v>0</v>
      </c>
    </row>
    <row r="30" customFormat="false" ht="15" hidden="false" customHeight="false" outlineLevel="0" collapsed="false">
      <c r="A30" s="19" t="s">
        <v>17</v>
      </c>
      <c r="B30" s="20" t="n">
        <f aca="false">COUNTIF(Data!$D$2:$D$122,A30)</f>
        <v>8</v>
      </c>
      <c r="C30" s="20" t="n">
        <f aca="false">SUMIF(Data!$D$2:$D$122,A30,Data!$E$2:$E$122)</f>
        <v>0</v>
      </c>
      <c r="D30" s="20" t="n">
        <f aca="false">SUMIFS(Data!$E$2:$E$122,Data!$D$2:$D$122,A30,Data!$C$2:$C$122,"Done")</f>
        <v>0</v>
      </c>
      <c r="E30" s="27" t="n">
        <f aca="false">IFERROR(D30/C30,0)</f>
        <v>0</v>
      </c>
    </row>
    <row r="32" customFormat="false" ht="16.15" hidden="false" customHeight="false" outlineLevel="0" collapsed="false">
      <c r="A32" s="17" t="s">
        <v>342</v>
      </c>
    </row>
    <row r="33" customFormat="false" ht="15" hidden="false" customHeight="false" outlineLevel="0" collapsed="false">
      <c r="A33" s="18" t="s">
        <v>11</v>
      </c>
      <c r="B33" s="18" t="s">
        <v>343</v>
      </c>
      <c r="C33" s="18" t="s">
        <v>344</v>
      </c>
    </row>
    <row r="34" customFormat="false" ht="15" hidden="false" customHeight="false" outlineLevel="0" collapsed="false">
      <c r="A34" s="19" t="s">
        <v>21</v>
      </c>
      <c r="B34" s="20" t="n">
        <f aca="false">COUNTIF(Data!$F$2:$F$122,A34)</f>
        <v>69</v>
      </c>
      <c r="C34" s="20" t="n">
        <f aca="false">SUMIF(Data!$F$2:$F$122,A34,Data!$E$2:$E$122)</f>
        <v>65</v>
      </c>
    </row>
    <row r="35" customFormat="false" ht="15" hidden="false" customHeight="false" outlineLevel="0" collapsed="false">
      <c r="A35" s="19" t="s">
        <v>31</v>
      </c>
      <c r="B35" s="20" t="n">
        <f aca="false">COUNTIF(Data!$F$2:$F$122,A35)</f>
        <v>52</v>
      </c>
      <c r="C35" s="20" t="n">
        <f aca="false">SUMIF(Data!$F$2:$F$122,A35,Data!$E$2:$E$122)</f>
        <v>74</v>
      </c>
    </row>
    <row r="37" customFormat="false" ht="15" hidden="false" customHeight="false" outlineLevel="0" collapsed="false">
      <c r="A37" s="28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5" t="s">
        <v>0</v>
      </c>
      <c r="B1" s="15" t="s">
        <v>1</v>
      </c>
      <c r="C1" s="15" t="s">
        <v>6</v>
      </c>
      <c r="D1" s="15" t="s">
        <v>7</v>
      </c>
      <c r="E1" s="15" t="s">
        <v>346</v>
      </c>
      <c r="F1" s="15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16</v>
      </c>
      <c r="D2" s="0" t="s">
        <v>17</v>
      </c>
      <c r="F2" s="0" t="s">
        <v>21</v>
      </c>
    </row>
    <row r="3" customFormat="false" ht="15" hidden="false" customHeight="false" outlineLevel="0" collapsed="false">
      <c r="A3" s="0" t="s">
        <v>22</v>
      </c>
      <c r="B3" s="0" t="s">
        <v>13</v>
      </c>
      <c r="C3" s="0" t="s">
        <v>16</v>
      </c>
      <c r="D3" s="0" t="s">
        <v>17</v>
      </c>
      <c r="F3" s="0" t="s">
        <v>21</v>
      </c>
    </row>
    <row r="4" customFormat="false" ht="15" hidden="false" customHeight="false" outlineLevel="0" collapsed="false">
      <c r="A4" s="0" t="s">
        <v>26</v>
      </c>
      <c r="B4" s="0" t="s">
        <v>13</v>
      </c>
      <c r="C4" s="0" t="s">
        <v>16</v>
      </c>
      <c r="D4" s="0" t="s">
        <v>17</v>
      </c>
      <c r="F4" s="0" t="s">
        <v>31</v>
      </c>
    </row>
    <row r="5" customFormat="false" ht="15" hidden="false" customHeight="false" outlineLevel="0" collapsed="false">
      <c r="A5" s="0" t="s">
        <v>32</v>
      </c>
      <c r="B5" s="0" t="s">
        <v>13</v>
      </c>
      <c r="C5" s="0" t="s">
        <v>16</v>
      </c>
      <c r="D5" s="0" t="s">
        <v>17</v>
      </c>
      <c r="F5" s="0" t="s">
        <v>31</v>
      </c>
    </row>
    <row r="6" customFormat="false" ht="15" hidden="false" customHeight="false" outlineLevel="0" collapsed="false">
      <c r="A6" s="0" t="s">
        <v>35</v>
      </c>
      <c r="B6" s="0" t="s">
        <v>13</v>
      </c>
      <c r="C6" s="0" t="s">
        <v>16</v>
      </c>
      <c r="D6" s="0" t="s">
        <v>17</v>
      </c>
      <c r="F6" s="0" t="s">
        <v>21</v>
      </c>
    </row>
    <row r="7" customFormat="false" ht="15" hidden="false" customHeight="false" outlineLevel="0" collapsed="false">
      <c r="A7" s="0" t="s">
        <v>40</v>
      </c>
      <c r="B7" s="0" t="s">
        <v>13</v>
      </c>
      <c r="C7" s="0" t="s">
        <v>16</v>
      </c>
      <c r="D7" s="0" t="s">
        <v>17</v>
      </c>
      <c r="F7" s="0" t="s">
        <v>31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s">
        <v>49</v>
      </c>
      <c r="D8" s="0" t="s">
        <v>50</v>
      </c>
      <c r="E8" s="0" t="n">
        <v>5</v>
      </c>
      <c r="F8" s="0" t="s">
        <v>21</v>
      </c>
    </row>
    <row r="9" customFormat="false" ht="15" hidden="false" customHeight="false" outlineLevel="0" collapsed="false">
      <c r="A9" s="0" t="s">
        <v>51</v>
      </c>
      <c r="B9" s="0" t="s">
        <v>45</v>
      </c>
      <c r="C9" s="0" t="s">
        <v>49</v>
      </c>
      <c r="D9" s="0" t="s">
        <v>50</v>
      </c>
      <c r="E9" s="0" t="n">
        <v>3</v>
      </c>
      <c r="F9" s="0" t="s">
        <v>21</v>
      </c>
    </row>
    <row r="10" customFormat="false" ht="15" hidden="false" customHeight="false" outlineLevel="0" collapsed="false">
      <c r="A10" s="0" t="s">
        <v>53</v>
      </c>
      <c r="B10" s="0" t="s">
        <v>45</v>
      </c>
      <c r="C10" s="0" t="s">
        <v>16</v>
      </c>
      <c r="D10" s="0" t="s">
        <v>50</v>
      </c>
      <c r="E10" s="0" t="n">
        <v>3</v>
      </c>
      <c r="F10" s="0" t="s">
        <v>21</v>
      </c>
    </row>
    <row r="11" customFormat="false" ht="15" hidden="false" customHeight="false" outlineLevel="0" collapsed="false">
      <c r="A11" s="0" t="s">
        <v>56</v>
      </c>
      <c r="B11" s="0" t="s">
        <v>45</v>
      </c>
      <c r="C11" s="0" t="s">
        <v>16</v>
      </c>
      <c r="D11" s="0" t="s">
        <v>59</v>
      </c>
      <c r="E11" s="0" t="n">
        <v>3</v>
      </c>
      <c r="F11" s="0" t="s">
        <v>21</v>
      </c>
    </row>
    <row r="12" customFormat="false" ht="15" hidden="false" customHeight="false" outlineLevel="0" collapsed="false">
      <c r="A12" s="0" t="s">
        <v>60</v>
      </c>
      <c r="B12" s="0" t="s">
        <v>45</v>
      </c>
      <c r="C12" s="0" t="s">
        <v>16</v>
      </c>
      <c r="D12" s="0" t="s">
        <v>59</v>
      </c>
      <c r="E12" s="0" t="n">
        <v>8</v>
      </c>
      <c r="F12" s="0" t="s">
        <v>21</v>
      </c>
    </row>
    <row r="13" customFormat="false" ht="15" hidden="false" customHeight="false" outlineLevel="0" collapsed="false">
      <c r="A13" s="0" t="s">
        <v>62</v>
      </c>
      <c r="B13" s="0" t="s">
        <v>45</v>
      </c>
      <c r="C13" s="0" t="s">
        <v>49</v>
      </c>
      <c r="D13" s="0" t="s">
        <v>50</v>
      </c>
      <c r="E13" s="0" t="n">
        <v>5</v>
      </c>
      <c r="F13" s="0" t="s">
        <v>21</v>
      </c>
    </row>
    <row r="14" customFormat="false" ht="15" hidden="false" customHeight="false" outlineLevel="0" collapsed="false">
      <c r="A14" s="0" t="s">
        <v>66</v>
      </c>
      <c r="B14" s="0" t="s">
        <v>45</v>
      </c>
      <c r="C14" s="0" t="s">
        <v>68</v>
      </c>
      <c r="D14" s="0" t="s">
        <v>50</v>
      </c>
      <c r="E14" s="0" t="n">
        <v>8</v>
      </c>
      <c r="F14" s="0" t="s">
        <v>21</v>
      </c>
    </row>
    <row r="15" customFormat="false" ht="15" hidden="false" customHeight="false" outlineLevel="0" collapsed="false">
      <c r="A15" s="0" t="s">
        <v>69</v>
      </c>
      <c r="B15" s="0" t="s">
        <v>45</v>
      </c>
      <c r="C15" s="0" t="s">
        <v>16</v>
      </c>
      <c r="D15" s="0" t="s">
        <v>50</v>
      </c>
      <c r="E15" s="0" t="n">
        <v>3</v>
      </c>
      <c r="F15" s="0" t="s">
        <v>21</v>
      </c>
    </row>
    <row r="16" customFormat="false" ht="15" hidden="false" customHeight="false" outlineLevel="0" collapsed="false">
      <c r="A16" s="0" t="s">
        <v>72</v>
      </c>
      <c r="B16" s="0" t="s">
        <v>45</v>
      </c>
      <c r="C16" s="0" t="s">
        <v>16</v>
      </c>
      <c r="D16" s="0" t="s">
        <v>50</v>
      </c>
      <c r="E16" s="0" t="n">
        <v>2</v>
      </c>
      <c r="F16" s="0" t="s">
        <v>21</v>
      </c>
    </row>
    <row r="17" customFormat="false" ht="15" hidden="false" customHeight="false" outlineLevel="0" collapsed="false">
      <c r="A17" s="0" t="s">
        <v>74</v>
      </c>
      <c r="B17" s="0" t="s">
        <v>45</v>
      </c>
      <c r="C17" s="0" t="s">
        <v>76</v>
      </c>
      <c r="D17" s="0" t="s">
        <v>50</v>
      </c>
      <c r="E17" s="0" t="n">
        <v>5</v>
      </c>
      <c r="F17" s="0" t="s">
        <v>21</v>
      </c>
    </row>
    <row r="18" customFormat="false" ht="15" hidden="false" customHeight="false" outlineLevel="0" collapsed="false">
      <c r="A18" s="0" t="s">
        <v>78</v>
      </c>
      <c r="B18" s="0" t="s">
        <v>45</v>
      </c>
      <c r="C18" s="0" t="s">
        <v>16</v>
      </c>
      <c r="D18" s="0" t="s">
        <v>59</v>
      </c>
      <c r="E18" s="0" t="n">
        <v>2</v>
      </c>
      <c r="F18" s="0" t="s">
        <v>21</v>
      </c>
    </row>
    <row r="19" customFormat="false" ht="15" hidden="false" customHeight="false" outlineLevel="0" collapsed="false">
      <c r="A19" s="0" t="s">
        <v>80</v>
      </c>
      <c r="B19" s="0" t="s">
        <v>45</v>
      </c>
      <c r="C19" s="0" t="s">
        <v>16</v>
      </c>
      <c r="D19" s="0" t="s">
        <v>59</v>
      </c>
      <c r="E19" s="0" t="n">
        <v>5</v>
      </c>
      <c r="F19" s="0" t="s">
        <v>31</v>
      </c>
    </row>
    <row r="20" customFormat="false" ht="15" hidden="false" customHeight="false" outlineLevel="0" collapsed="false">
      <c r="A20" s="0" t="s">
        <v>83</v>
      </c>
      <c r="B20" s="0" t="s">
        <v>45</v>
      </c>
      <c r="C20" s="0" t="s">
        <v>16</v>
      </c>
      <c r="D20" s="0" t="s">
        <v>59</v>
      </c>
      <c r="E20" s="0" t="n">
        <v>5</v>
      </c>
      <c r="F20" s="0" t="s">
        <v>31</v>
      </c>
    </row>
    <row r="21" customFormat="false" ht="15" hidden="false" customHeight="false" outlineLevel="0" collapsed="false">
      <c r="A21" s="0" t="s">
        <v>86</v>
      </c>
      <c r="B21" s="0" t="s">
        <v>45</v>
      </c>
      <c r="C21" s="0" t="s">
        <v>16</v>
      </c>
      <c r="D21" s="0" t="s">
        <v>59</v>
      </c>
      <c r="E21" s="0" t="n">
        <v>3</v>
      </c>
      <c r="F21" s="0" t="s">
        <v>31</v>
      </c>
    </row>
    <row r="22" customFormat="false" ht="15" hidden="false" customHeight="false" outlineLevel="0" collapsed="false">
      <c r="A22" s="0" t="s">
        <v>89</v>
      </c>
      <c r="B22" s="0" t="s">
        <v>45</v>
      </c>
      <c r="C22" s="0" t="s">
        <v>16</v>
      </c>
      <c r="D22" s="0" t="s">
        <v>59</v>
      </c>
      <c r="E22" s="0" t="n">
        <v>8</v>
      </c>
      <c r="F22" s="0" t="s">
        <v>31</v>
      </c>
    </row>
    <row r="23" customFormat="false" ht="15" hidden="false" customHeight="false" outlineLevel="0" collapsed="false">
      <c r="A23" s="0" t="s">
        <v>91</v>
      </c>
      <c r="B23" s="0" t="s">
        <v>45</v>
      </c>
      <c r="C23" s="0" t="s">
        <v>16</v>
      </c>
      <c r="D23" s="0" t="s">
        <v>59</v>
      </c>
      <c r="E23" s="0" t="n">
        <v>3</v>
      </c>
      <c r="F23" s="0" t="s">
        <v>31</v>
      </c>
    </row>
    <row r="24" customFormat="false" ht="15" hidden="false" customHeight="false" outlineLevel="0" collapsed="false">
      <c r="A24" s="0" t="s">
        <v>93</v>
      </c>
      <c r="B24" s="0" t="s">
        <v>45</v>
      </c>
      <c r="C24" s="0" t="s">
        <v>16</v>
      </c>
      <c r="D24" s="0" t="s">
        <v>59</v>
      </c>
      <c r="E24" s="0" t="n">
        <v>5</v>
      </c>
      <c r="F24" s="0" t="s">
        <v>31</v>
      </c>
    </row>
    <row r="25" customFormat="false" ht="15" hidden="false" customHeight="false" outlineLevel="0" collapsed="false">
      <c r="A25" s="0" t="s">
        <v>96</v>
      </c>
      <c r="B25" s="0" t="s">
        <v>45</v>
      </c>
      <c r="C25" s="0" t="s">
        <v>16</v>
      </c>
      <c r="D25" s="0" t="s">
        <v>59</v>
      </c>
      <c r="E25" s="0" t="n">
        <v>3</v>
      </c>
      <c r="F25" s="0" t="s">
        <v>31</v>
      </c>
    </row>
    <row r="26" customFormat="false" ht="15" hidden="false" customHeight="false" outlineLevel="0" collapsed="false">
      <c r="A26" s="0" t="s">
        <v>98</v>
      </c>
      <c r="B26" s="0" t="s">
        <v>45</v>
      </c>
      <c r="C26" s="0" t="s">
        <v>16</v>
      </c>
      <c r="D26" s="0" t="s">
        <v>59</v>
      </c>
      <c r="E26" s="0" t="n">
        <v>3</v>
      </c>
      <c r="F26" s="0" t="s">
        <v>31</v>
      </c>
    </row>
    <row r="27" customFormat="false" ht="15" hidden="false" customHeight="false" outlineLevel="0" collapsed="false">
      <c r="A27" s="0" t="s">
        <v>100</v>
      </c>
      <c r="B27" s="0" t="s">
        <v>45</v>
      </c>
      <c r="C27" s="0" t="s">
        <v>16</v>
      </c>
      <c r="D27" s="0" t="s">
        <v>102</v>
      </c>
      <c r="E27" s="0" t="n">
        <v>8</v>
      </c>
      <c r="F27" s="0" t="s">
        <v>31</v>
      </c>
    </row>
    <row r="28" customFormat="false" ht="15" hidden="false" customHeight="false" outlineLevel="0" collapsed="false">
      <c r="A28" s="0" t="s">
        <v>103</v>
      </c>
      <c r="B28" s="0" t="s">
        <v>45</v>
      </c>
      <c r="C28" s="0" t="s">
        <v>16</v>
      </c>
      <c r="D28" s="0" t="s">
        <v>102</v>
      </c>
      <c r="E28" s="0" t="n">
        <v>5</v>
      </c>
      <c r="F28" s="0" t="s">
        <v>31</v>
      </c>
    </row>
    <row r="29" customFormat="false" ht="15" hidden="false" customHeight="false" outlineLevel="0" collapsed="false">
      <c r="A29" s="0" t="s">
        <v>105</v>
      </c>
      <c r="B29" s="0" t="s">
        <v>45</v>
      </c>
      <c r="C29" s="0" t="s">
        <v>16</v>
      </c>
      <c r="D29" s="0" t="s">
        <v>102</v>
      </c>
      <c r="E29" s="0" t="n">
        <v>5</v>
      </c>
      <c r="F29" s="0" t="s">
        <v>21</v>
      </c>
    </row>
    <row r="30" customFormat="false" ht="15" hidden="false" customHeight="false" outlineLevel="0" collapsed="false">
      <c r="A30" s="0" t="s">
        <v>108</v>
      </c>
      <c r="B30" s="0" t="s">
        <v>45</v>
      </c>
      <c r="C30" s="0" t="s">
        <v>16</v>
      </c>
      <c r="D30" s="0" t="s">
        <v>102</v>
      </c>
      <c r="E30" s="0" t="n">
        <v>5</v>
      </c>
      <c r="F30" s="0" t="s">
        <v>21</v>
      </c>
    </row>
    <row r="31" customFormat="false" ht="15" hidden="false" customHeight="false" outlineLevel="0" collapsed="false">
      <c r="A31" s="0" t="s">
        <v>110</v>
      </c>
      <c r="B31" s="0" t="s">
        <v>45</v>
      </c>
      <c r="C31" s="0" t="s">
        <v>16</v>
      </c>
      <c r="D31" s="0" t="s">
        <v>102</v>
      </c>
      <c r="E31" s="0" t="n">
        <v>3</v>
      </c>
      <c r="F31" s="0" t="s">
        <v>21</v>
      </c>
    </row>
    <row r="32" customFormat="false" ht="15" hidden="false" customHeight="false" outlineLevel="0" collapsed="false">
      <c r="A32" s="0" t="s">
        <v>112</v>
      </c>
      <c r="B32" s="0" t="s">
        <v>45</v>
      </c>
      <c r="C32" s="0" t="s">
        <v>16</v>
      </c>
      <c r="D32" s="0" t="s">
        <v>102</v>
      </c>
      <c r="E32" s="0" t="n">
        <v>5</v>
      </c>
      <c r="F32" s="0" t="s">
        <v>21</v>
      </c>
    </row>
    <row r="33" customFormat="false" ht="15" hidden="false" customHeight="false" outlineLevel="0" collapsed="false">
      <c r="A33" s="0" t="s">
        <v>114</v>
      </c>
      <c r="B33" s="0" t="s">
        <v>45</v>
      </c>
      <c r="C33" s="0" t="s">
        <v>16</v>
      </c>
      <c r="D33" s="0" t="s">
        <v>102</v>
      </c>
      <c r="E33" s="0" t="n">
        <v>5</v>
      </c>
      <c r="F33" s="0" t="s">
        <v>31</v>
      </c>
    </row>
    <row r="34" customFormat="false" ht="15" hidden="false" customHeight="false" outlineLevel="0" collapsed="false">
      <c r="A34" s="0" t="s">
        <v>117</v>
      </c>
      <c r="B34" s="0" t="s">
        <v>45</v>
      </c>
      <c r="C34" s="0" t="s">
        <v>16</v>
      </c>
      <c r="D34" s="0" t="s">
        <v>102</v>
      </c>
      <c r="E34" s="0" t="n">
        <v>5</v>
      </c>
      <c r="F34" s="0" t="s">
        <v>31</v>
      </c>
    </row>
    <row r="35" customFormat="false" ht="15" hidden="false" customHeight="false" outlineLevel="0" collapsed="false">
      <c r="A35" s="0" t="s">
        <v>119</v>
      </c>
      <c r="B35" s="0" t="s">
        <v>45</v>
      </c>
      <c r="C35" s="0" t="s">
        <v>16</v>
      </c>
      <c r="D35" s="0" t="s">
        <v>102</v>
      </c>
      <c r="E35" s="0" t="n">
        <v>8</v>
      </c>
      <c r="F35" s="0" t="s">
        <v>31</v>
      </c>
    </row>
    <row r="36" customFormat="false" ht="15" hidden="false" customHeight="false" outlineLevel="0" collapsed="false">
      <c r="A36" s="0" t="s">
        <v>121</v>
      </c>
      <c r="B36" s="0" t="s">
        <v>45</v>
      </c>
      <c r="C36" s="0" t="s">
        <v>16</v>
      </c>
      <c r="D36" s="0" t="s">
        <v>102</v>
      </c>
      <c r="E36" s="0" t="n">
        <v>8</v>
      </c>
      <c r="F36" s="0" t="s">
        <v>31</v>
      </c>
    </row>
    <row r="37" customFormat="false" ht="15" hidden="false" customHeight="false" outlineLevel="0" collapsed="false">
      <c r="A37" s="0" t="s">
        <v>123</v>
      </c>
      <c r="B37" s="0" t="s">
        <v>124</v>
      </c>
      <c r="C37" s="0" t="s">
        <v>49</v>
      </c>
      <c r="D37" s="0" t="s">
        <v>50</v>
      </c>
      <c r="F37" s="0" t="s">
        <v>21</v>
      </c>
    </row>
    <row r="38" customFormat="false" ht="15" hidden="false" customHeight="false" outlineLevel="0" collapsed="false">
      <c r="A38" s="0" t="s">
        <v>128</v>
      </c>
      <c r="B38" s="0" t="s">
        <v>124</v>
      </c>
      <c r="C38" s="0" t="s">
        <v>49</v>
      </c>
      <c r="D38" s="0" t="s">
        <v>50</v>
      </c>
      <c r="F38" s="0" t="s">
        <v>21</v>
      </c>
    </row>
    <row r="39" customFormat="false" ht="15" hidden="false" customHeight="false" outlineLevel="0" collapsed="false">
      <c r="A39" s="0" t="s">
        <v>131</v>
      </c>
      <c r="B39" s="0" t="s">
        <v>124</v>
      </c>
      <c r="C39" s="0" t="s">
        <v>49</v>
      </c>
      <c r="D39" s="0" t="s">
        <v>50</v>
      </c>
      <c r="F39" s="0" t="s">
        <v>21</v>
      </c>
    </row>
    <row r="40" customFormat="false" ht="15" hidden="false" customHeight="false" outlineLevel="0" collapsed="false">
      <c r="A40" s="0" t="s">
        <v>133</v>
      </c>
      <c r="B40" s="0" t="s">
        <v>124</v>
      </c>
      <c r="C40" s="0" t="s">
        <v>16</v>
      </c>
      <c r="D40" s="0" t="s">
        <v>59</v>
      </c>
      <c r="F40" s="0" t="s">
        <v>21</v>
      </c>
    </row>
    <row r="41" customFormat="false" ht="15" hidden="false" customHeight="false" outlineLevel="0" collapsed="false">
      <c r="A41" s="0" t="s">
        <v>135</v>
      </c>
      <c r="B41" s="0" t="s">
        <v>124</v>
      </c>
      <c r="C41" s="0" t="s">
        <v>16</v>
      </c>
      <c r="D41" s="0" t="s">
        <v>59</v>
      </c>
      <c r="F41" s="0" t="s">
        <v>31</v>
      </c>
    </row>
    <row r="42" customFormat="false" ht="15" hidden="false" customHeight="false" outlineLevel="0" collapsed="false">
      <c r="A42" s="0" t="s">
        <v>137</v>
      </c>
      <c r="B42" s="0" t="s">
        <v>124</v>
      </c>
      <c r="C42" s="0" t="s">
        <v>16</v>
      </c>
      <c r="D42" s="0" t="s">
        <v>102</v>
      </c>
      <c r="F42" s="0" t="s">
        <v>31</v>
      </c>
    </row>
    <row r="43" customFormat="false" ht="15" hidden="false" customHeight="false" outlineLevel="0" collapsed="false">
      <c r="A43" s="0" t="s">
        <v>139</v>
      </c>
      <c r="B43" s="0" t="s">
        <v>140</v>
      </c>
      <c r="C43" s="0" t="s">
        <v>68</v>
      </c>
      <c r="D43" s="0" t="s">
        <v>50</v>
      </c>
      <c r="F43" s="0" t="s">
        <v>21</v>
      </c>
    </row>
    <row r="44" customFormat="false" ht="15" hidden="false" customHeight="false" outlineLevel="0" collapsed="false">
      <c r="A44" s="0" t="s">
        <v>143</v>
      </c>
      <c r="B44" s="0" t="s">
        <v>140</v>
      </c>
      <c r="C44" s="0" t="s">
        <v>16</v>
      </c>
      <c r="D44" s="0" t="s">
        <v>50</v>
      </c>
      <c r="F44" s="0" t="s">
        <v>21</v>
      </c>
    </row>
    <row r="45" customFormat="false" ht="15" hidden="false" customHeight="false" outlineLevel="0" collapsed="false">
      <c r="A45" s="0" t="s">
        <v>145</v>
      </c>
      <c r="B45" s="0" t="s">
        <v>140</v>
      </c>
      <c r="C45" s="0" t="s">
        <v>16</v>
      </c>
      <c r="D45" s="0" t="s">
        <v>17</v>
      </c>
      <c r="F45" s="0" t="s">
        <v>21</v>
      </c>
    </row>
    <row r="46" customFormat="false" ht="15" hidden="false" customHeight="false" outlineLevel="0" collapsed="false">
      <c r="A46" s="0" t="s">
        <v>148</v>
      </c>
      <c r="B46" s="0" t="s">
        <v>140</v>
      </c>
      <c r="C46" s="0" t="s">
        <v>16</v>
      </c>
      <c r="D46" s="0" t="s">
        <v>17</v>
      </c>
      <c r="F46" s="0" t="s">
        <v>31</v>
      </c>
    </row>
    <row r="47" customFormat="false" ht="15" hidden="false" customHeight="false" outlineLevel="0" collapsed="false">
      <c r="A47" s="0" t="s">
        <v>151</v>
      </c>
      <c r="B47" s="0" t="s">
        <v>152</v>
      </c>
      <c r="C47" s="0" t="s">
        <v>49</v>
      </c>
      <c r="D47" s="0" t="s">
        <v>50</v>
      </c>
      <c r="F47" s="0" t="s">
        <v>21</v>
      </c>
    </row>
    <row r="48" customFormat="false" ht="15" hidden="false" customHeight="false" outlineLevel="0" collapsed="false">
      <c r="A48" s="0" t="s">
        <v>155</v>
      </c>
      <c r="B48" s="0" t="s">
        <v>152</v>
      </c>
      <c r="C48" s="0" t="s">
        <v>49</v>
      </c>
      <c r="D48" s="0" t="s">
        <v>50</v>
      </c>
      <c r="F48" s="0" t="s">
        <v>21</v>
      </c>
    </row>
    <row r="49" customFormat="false" ht="15" hidden="false" customHeight="false" outlineLevel="0" collapsed="false">
      <c r="A49" s="0" t="s">
        <v>157</v>
      </c>
      <c r="B49" s="0" t="s">
        <v>152</v>
      </c>
      <c r="C49" s="0" t="s">
        <v>49</v>
      </c>
      <c r="D49" s="0" t="s">
        <v>50</v>
      </c>
      <c r="F49" s="0" t="s">
        <v>21</v>
      </c>
    </row>
    <row r="50" customFormat="false" ht="15" hidden="false" customHeight="false" outlineLevel="0" collapsed="false">
      <c r="A50" s="0" t="s">
        <v>159</v>
      </c>
      <c r="B50" s="0" t="s">
        <v>152</v>
      </c>
      <c r="C50" s="0" t="s">
        <v>49</v>
      </c>
      <c r="D50" s="0" t="s">
        <v>50</v>
      </c>
      <c r="F50" s="0" t="s">
        <v>21</v>
      </c>
    </row>
    <row r="51" customFormat="false" ht="15" hidden="false" customHeight="false" outlineLevel="0" collapsed="false">
      <c r="A51" s="0" t="s">
        <v>161</v>
      </c>
      <c r="B51" s="0" t="s">
        <v>152</v>
      </c>
      <c r="C51" s="0" t="s">
        <v>49</v>
      </c>
      <c r="D51" s="0" t="s">
        <v>50</v>
      </c>
      <c r="F51" s="0" t="s">
        <v>21</v>
      </c>
    </row>
    <row r="52" customFormat="false" ht="15" hidden="false" customHeight="false" outlineLevel="0" collapsed="false">
      <c r="A52" s="0" t="s">
        <v>163</v>
      </c>
      <c r="B52" s="0" t="s">
        <v>152</v>
      </c>
      <c r="C52" s="0" t="s">
        <v>49</v>
      </c>
      <c r="D52" s="0" t="s">
        <v>50</v>
      </c>
      <c r="F52" s="0" t="s">
        <v>21</v>
      </c>
    </row>
    <row r="53" customFormat="false" ht="15" hidden="false" customHeight="false" outlineLevel="0" collapsed="false">
      <c r="A53" s="0" t="s">
        <v>165</v>
      </c>
      <c r="B53" s="0" t="s">
        <v>152</v>
      </c>
      <c r="C53" s="0" t="s">
        <v>49</v>
      </c>
      <c r="D53" s="0" t="s">
        <v>50</v>
      </c>
      <c r="F53" s="0" t="s">
        <v>21</v>
      </c>
    </row>
    <row r="54" customFormat="false" ht="15" hidden="false" customHeight="false" outlineLevel="0" collapsed="false">
      <c r="A54" s="0" t="s">
        <v>168</v>
      </c>
      <c r="B54" s="0" t="s">
        <v>152</v>
      </c>
      <c r="C54" s="0" t="s">
        <v>49</v>
      </c>
      <c r="D54" s="0" t="s">
        <v>50</v>
      </c>
      <c r="F54" s="0" t="s">
        <v>21</v>
      </c>
    </row>
    <row r="55" customFormat="false" ht="15" hidden="false" customHeight="false" outlineLevel="0" collapsed="false">
      <c r="A55" s="0" t="s">
        <v>170</v>
      </c>
      <c r="B55" s="0" t="s">
        <v>152</v>
      </c>
      <c r="C55" s="0" t="s">
        <v>49</v>
      </c>
      <c r="D55" s="0" t="s">
        <v>50</v>
      </c>
      <c r="F55" s="0" t="s">
        <v>21</v>
      </c>
    </row>
    <row r="56" customFormat="false" ht="15" hidden="false" customHeight="false" outlineLevel="0" collapsed="false">
      <c r="A56" s="0" t="s">
        <v>172</v>
      </c>
      <c r="B56" s="0" t="s">
        <v>152</v>
      </c>
      <c r="C56" s="0" t="s">
        <v>49</v>
      </c>
      <c r="D56" s="0" t="s">
        <v>50</v>
      </c>
      <c r="F56" s="0" t="s">
        <v>21</v>
      </c>
    </row>
    <row r="57" customFormat="false" ht="15" hidden="false" customHeight="false" outlineLevel="0" collapsed="false">
      <c r="A57" s="0" t="s">
        <v>174</v>
      </c>
      <c r="B57" s="0" t="s">
        <v>152</v>
      </c>
      <c r="C57" s="0" t="s">
        <v>49</v>
      </c>
      <c r="D57" s="0" t="s">
        <v>50</v>
      </c>
      <c r="F57" s="0" t="s">
        <v>21</v>
      </c>
    </row>
    <row r="58" customFormat="false" ht="15" hidden="false" customHeight="false" outlineLevel="0" collapsed="false">
      <c r="A58" s="0" t="s">
        <v>176</v>
      </c>
      <c r="B58" s="0" t="s">
        <v>152</v>
      </c>
      <c r="C58" s="0" t="s">
        <v>16</v>
      </c>
      <c r="D58" s="0" t="s">
        <v>50</v>
      </c>
      <c r="F58" s="0" t="s">
        <v>21</v>
      </c>
    </row>
    <row r="59" customFormat="false" ht="15" hidden="false" customHeight="false" outlineLevel="0" collapsed="false">
      <c r="A59" s="0" t="s">
        <v>179</v>
      </c>
      <c r="B59" s="0" t="s">
        <v>152</v>
      </c>
      <c r="C59" s="0" t="s">
        <v>16</v>
      </c>
      <c r="D59" s="0" t="s">
        <v>50</v>
      </c>
      <c r="F59" s="0" t="s">
        <v>21</v>
      </c>
    </row>
    <row r="60" customFormat="false" ht="15" hidden="false" customHeight="false" outlineLevel="0" collapsed="false">
      <c r="A60" s="0" t="s">
        <v>181</v>
      </c>
      <c r="B60" s="0" t="s">
        <v>152</v>
      </c>
      <c r="C60" s="0" t="s">
        <v>16</v>
      </c>
      <c r="D60" s="0" t="s">
        <v>50</v>
      </c>
      <c r="F60" s="0" t="s">
        <v>21</v>
      </c>
    </row>
    <row r="61" customFormat="false" ht="15" hidden="false" customHeight="false" outlineLevel="0" collapsed="false">
      <c r="A61" s="0" t="s">
        <v>183</v>
      </c>
      <c r="B61" s="0" t="s">
        <v>152</v>
      </c>
      <c r="C61" s="0" t="s">
        <v>16</v>
      </c>
      <c r="D61" s="0" t="s">
        <v>50</v>
      </c>
      <c r="F61" s="0" t="s">
        <v>21</v>
      </c>
    </row>
    <row r="62" customFormat="false" ht="15" hidden="false" customHeight="false" outlineLevel="0" collapsed="false">
      <c r="A62" s="0" t="s">
        <v>185</v>
      </c>
      <c r="B62" s="0" t="s">
        <v>152</v>
      </c>
      <c r="C62" s="0" t="s">
        <v>16</v>
      </c>
      <c r="D62" s="0" t="s">
        <v>50</v>
      </c>
      <c r="F62" s="0" t="s">
        <v>21</v>
      </c>
    </row>
    <row r="63" customFormat="false" ht="15" hidden="false" customHeight="false" outlineLevel="0" collapsed="false">
      <c r="A63" s="0" t="s">
        <v>187</v>
      </c>
      <c r="B63" s="0" t="s">
        <v>152</v>
      </c>
      <c r="C63" s="0" t="s">
        <v>49</v>
      </c>
      <c r="D63" s="0" t="s">
        <v>50</v>
      </c>
      <c r="F63" s="0" t="s">
        <v>21</v>
      </c>
    </row>
    <row r="64" customFormat="false" ht="15" hidden="false" customHeight="false" outlineLevel="0" collapsed="false">
      <c r="A64" s="0" t="s">
        <v>190</v>
      </c>
      <c r="B64" s="0" t="s">
        <v>152</v>
      </c>
      <c r="C64" s="0" t="s">
        <v>49</v>
      </c>
      <c r="D64" s="0" t="s">
        <v>50</v>
      </c>
      <c r="F64" s="0" t="s">
        <v>21</v>
      </c>
    </row>
    <row r="65" customFormat="false" ht="15" hidden="false" customHeight="false" outlineLevel="0" collapsed="false">
      <c r="A65" s="0" t="s">
        <v>192</v>
      </c>
      <c r="B65" s="0" t="s">
        <v>152</v>
      </c>
      <c r="C65" s="0" t="s">
        <v>49</v>
      </c>
      <c r="D65" s="0" t="s">
        <v>50</v>
      </c>
      <c r="F65" s="0" t="s">
        <v>21</v>
      </c>
    </row>
    <row r="66" customFormat="false" ht="15" hidden="false" customHeight="false" outlineLevel="0" collapsed="false">
      <c r="A66" s="0" t="s">
        <v>194</v>
      </c>
      <c r="B66" s="0" t="s">
        <v>152</v>
      </c>
      <c r="C66" s="0" t="s">
        <v>49</v>
      </c>
      <c r="D66" s="0" t="s">
        <v>50</v>
      </c>
      <c r="F66" s="0" t="s">
        <v>21</v>
      </c>
    </row>
    <row r="67" customFormat="false" ht="15" hidden="false" customHeight="false" outlineLevel="0" collapsed="false">
      <c r="A67" s="0" t="s">
        <v>196</v>
      </c>
      <c r="B67" s="0" t="s">
        <v>152</v>
      </c>
      <c r="C67" s="0" t="s">
        <v>49</v>
      </c>
      <c r="D67" s="0" t="s">
        <v>50</v>
      </c>
      <c r="F67" s="0" t="s">
        <v>21</v>
      </c>
    </row>
    <row r="68" customFormat="false" ht="15" hidden="false" customHeight="false" outlineLevel="0" collapsed="false">
      <c r="A68" s="0" t="s">
        <v>198</v>
      </c>
      <c r="B68" s="0" t="s">
        <v>152</v>
      </c>
      <c r="C68" s="0" t="s">
        <v>49</v>
      </c>
      <c r="D68" s="0" t="s">
        <v>50</v>
      </c>
      <c r="F68" s="0" t="s">
        <v>21</v>
      </c>
    </row>
    <row r="69" customFormat="false" ht="15" hidden="false" customHeight="false" outlineLevel="0" collapsed="false">
      <c r="A69" s="0" t="s">
        <v>201</v>
      </c>
      <c r="B69" s="0" t="s">
        <v>152</v>
      </c>
      <c r="C69" s="0" t="s">
        <v>68</v>
      </c>
      <c r="D69" s="0" t="s">
        <v>50</v>
      </c>
      <c r="F69" s="0" t="s">
        <v>21</v>
      </c>
    </row>
    <row r="70" customFormat="false" ht="15" hidden="false" customHeight="false" outlineLevel="0" collapsed="false">
      <c r="A70" s="0" t="s">
        <v>203</v>
      </c>
      <c r="B70" s="0" t="s">
        <v>152</v>
      </c>
      <c r="C70" s="0" t="s">
        <v>68</v>
      </c>
      <c r="D70" s="0" t="s">
        <v>50</v>
      </c>
      <c r="F70" s="0" t="s">
        <v>21</v>
      </c>
    </row>
    <row r="71" customFormat="false" ht="15" hidden="false" customHeight="false" outlineLevel="0" collapsed="false">
      <c r="A71" s="0" t="s">
        <v>205</v>
      </c>
      <c r="B71" s="0" t="s">
        <v>152</v>
      </c>
      <c r="C71" s="0" t="s">
        <v>49</v>
      </c>
      <c r="D71" s="0" t="s">
        <v>50</v>
      </c>
      <c r="F71" s="0" t="s">
        <v>21</v>
      </c>
    </row>
    <row r="72" customFormat="false" ht="15" hidden="false" customHeight="false" outlineLevel="0" collapsed="false">
      <c r="A72" s="0" t="s">
        <v>207</v>
      </c>
      <c r="B72" s="0" t="s">
        <v>152</v>
      </c>
      <c r="C72" s="0" t="s">
        <v>49</v>
      </c>
      <c r="D72" s="0" t="s">
        <v>50</v>
      </c>
      <c r="F72" s="0" t="s">
        <v>21</v>
      </c>
    </row>
    <row r="73" customFormat="false" ht="15" hidden="false" customHeight="false" outlineLevel="0" collapsed="false">
      <c r="A73" s="0" t="s">
        <v>209</v>
      </c>
      <c r="B73" s="0" t="s">
        <v>152</v>
      </c>
      <c r="C73" s="0" t="s">
        <v>16</v>
      </c>
      <c r="D73" s="0" t="s">
        <v>50</v>
      </c>
      <c r="F73" s="0" t="s">
        <v>21</v>
      </c>
    </row>
    <row r="74" customFormat="false" ht="15" hidden="false" customHeight="false" outlineLevel="0" collapsed="false">
      <c r="A74" s="0" t="s">
        <v>211</v>
      </c>
      <c r="B74" s="0" t="s">
        <v>152</v>
      </c>
      <c r="C74" s="0" t="s">
        <v>16</v>
      </c>
      <c r="D74" s="0" t="s">
        <v>50</v>
      </c>
      <c r="F74" s="0" t="s">
        <v>21</v>
      </c>
    </row>
    <row r="75" customFormat="false" ht="15" hidden="false" customHeight="false" outlineLevel="0" collapsed="false">
      <c r="A75" s="0" t="s">
        <v>214</v>
      </c>
      <c r="B75" s="0" t="s">
        <v>152</v>
      </c>
      <c r="C75" s="0" t="s">
        <v>16</v>
      </c>
      <c r="D75" s="0" t="s">
        <v>50</v>
      </c>
      <c r="F75" s="0" t="s">
        <v>21</v>
      </c>
    </row>
    <row r="76" customFormat="false" ht="15" hidden="false" customHeight="false" outlineLevel="0" collapsed="false">
      <c r="A76" s="0" t="s">
        <v>216</v>
      </c>
      <c r="B76" s="0" t="s">
        <v>152</v>
      </c>
      <c r="C76" s="0" t="s">
        <v>16</v>
      </c>
      <c r="D76" s="0" t="s">
        <v>50</v>
      </c>
      <c r="F76" s="0" t="s">
        <v>21</v>
      </c>
    </row>
    <row r="77" customFormat="false" ht="15" hidden="false" customHeight="false" outlineLevel="0" collapsed="false">
      <c r="A77" s="0" t="s">
        <v>218</v>
      </c>
      <c r="B77" s="0" t="s">
        <v>152</v>
      </c>
      <c r="C77" s="0" t="s">
        <v>16</v>
      </c>
      <c r="D77" s="0" t="s">
        <v>50</v>
      </c>
      <c r="F77" s="0" t="s">
        <v>21</v>
      </c>
    </row>
    <row r="78" customFormat="false" ht="15" hidden="false" customHeight="false" outlineLevel="0" collapsed="false">
      <c r="A78" s="0" t="s">
        <v>220</v>
      </c>
      <c r="B78" s="0" t="s">
        <v>152</v>
      </c>
      <c r="C78" s="0" t="s">
        <v>16</v>
      </c>
      <c r="D78" s="0" t="s">
        <v>50</v>
      </c>
      <c r="F78" s="0" t="s">
        <v>21</v>
      </c>
    </row>
    <row r="79" customFormat="false" ht="15" hidden="false" customHeight="false" outlineLevel="0" collapsed="false">
      <c r="A79" s="0" t="s">
        <v>223</v>
      </c>
      <c r="B79" s="0" t="s">
        <v>152</v>
      </c>
      <c r="C79" s="0" t="s">
        <v>16</v>
      </c>
      <c r="D79" s="0" t="s">
        <v>50</v>
      </c>
      <c r="F79" s="0" t="s">
        <v>21</v>
      </c>
    </row>
    <row r="80" customFormat="false" ht="15" hidden="false" customHeight="false" outlineLevel="0" collapsed="false">
      <c r="A80" s="0" t="s">
        <v>225</v>
      </c>
      <c r="B80" s="0" t="s">
        <v>152</v>
      </c>
      <c r="C80" s="0" t="s">
        <v>16</v>
      </c>
      <c r="D80" s="0" t="s">
        <v>50</v>
      </c>
      <c r="F80" s="0" t="s">
        <v>21</v>
      </c>
    </row>
    <row r="81" customFormat="false" ht="15" hidden="false" customHeight="false" outlineLevel="0" collapsed="false">
      <c r="A81" s="0" t="s">
        <v>227</v>
      </c>
      <c r="B81" s="0" t="s">
        <v>152</v>
      </c>
      <c r="C81" s="0" t="s">
        <v>16</v>
      </c>
      <c r="D81" s="0" t="s">
        <v>50</v>
      </c>
      <c r="F81" s="0" t="s">
        <v>21</v>
      </c>
    </row>
    <row r="82" customFormat="false" ht="15" hidden="false" customHeight="false" outlineLevel="0" collapsed="false">
      <c r="A82" s="0" t="s">
        <v>229</v>
      </c>
      <c r="B82" s="0" t="s">
        <v>152</v>
      </c>
      <c r="C82" s="0" t="s">
        <v>49</v>
      </c>
      <c r="D82" s="0" t="s">
        <v>50</v>
      </c>
      <c r="F82" s="0" t="s">
        <v>21</v>
      </c>
    </row>
    <row r="83" customFormat="false" ht="15" hidden="false" customHeight="false" outlineLevel="0" collapsed="false">
      <c r="A83" s="0" t="s">
        <v>232</v>
      </c>
      <c r="B83" s="0" t="s">
        <v>152</v>
      </c>
      <c r="C83" s="0" t="s">
        <v>49</v>
      </c>
      <c r="D83" s="0" t="s">
        <v>50</v>
      </c>
      <c r="F83" s="0" t="s">
        <v>21</v>
      </c>
    </row>
    <row r="84" customFormat="false" ht="15" hidden="false" customHeight="false" outlineLevel="0" collapsed="false">
      <c r="A84" s="0" t="s">
        <v>234</v>
      </c>
      <c r="B84" s="0" t="s">
        <v>152</v>
      </c>
      <c r="C84" s="0" t="s">
        <v>49</v>
      </c>
      <c r="D84" s="0" t="s">
        <v>50</v>
      </c>
      <c r="F84" s="0" t="s">
        <v>21</v>
      </c>
    </row>
    <row r="85" customFormat="false" ht="15" hidden="false" customHeight="false" outlineLevel="0" collapsed="false">
      <c r="A85" s="0" t="s">
        <v>236</v>
      </c>
      <c r="B85" s="0" t="s">
        <v>152</v>
      </c>
      <c r="C85" s="0" t="s">
        <v>49</v>
      </c>
      <c r="D85" s="0" t="s">
        <v>50</v>
      </c>
      <c r="F85" s="0" t="s">
        <v>21</v>
      </c>
    </row>
    <row r="86" customFormat="false" ht="15" hidden="false" customHeight="false" outlineLevel="0" collapsed="false">
      <c r="A86" s="0" t="s">
        <v>238</v>
      </c>
      <c r="B86" s="0" t="s">
        <v>152</v>
      </c>
      <c r="C86" s="0" t="s">
        <v>68</v>
      </c>
      <c r="D86" s="0" t="s">
        <v>50</v>
      </c>
      <c r="F86" s="0" t="s">
        <v>21</v>
      </c>
    </row>
    <row r="87" customFormat="false" ht="15" hidden="false" customHeight="false" outlineLevel="0" collapsed="false">
      <c r="A87" s="0" t="s">
        <v>240</v>
      </c>
      <c r="B87" s="0" t="s">
        <v>152</v>
      </c>
      <c r="C87" s="0" t="s">
        <v>68</v>
      </c>
      <c r="D87" s="0" t="s">
        <v>50</v>
      </c>
      <c r="F87" s="0" t="s">
        <v>21</v>
      </c>
    </row>
    <row r="88" customFormat="false" ht="15" hidden="false" customHeight="false" outlineLevel="0" collapsed="false">
      <c r="A88" s="0" t="s">
        <v>242</v>
      </c>
      <c r="B88" s="0" t="s">
        <v>152</v>
      </c>
      <c r="C88" s="0" t="s">
        <v>16</v>
      </c>
      <c r="D88" s="0" t="s">
        <v>59</v>
      </c>
      <c r="F88" s="0" t="s">
        <v>31</v>
      </c>
    </row>
    <row r="89" customFormat="false" ht="15" hidden="false" customHeight="false" outlineLevel="0" collapsed="false">
      <c r="A89" s="0" t="s">
        <v>245</v>
      </c>
      <c r="B89" s="0" t="s">
        <v>152</v>
      </c>
      <c r="C89" s="0" t="s">
        <v>16</v>
      </c>
      <c r="D89" s="0" t="s">
        <v>59</v>
      </c>
      <c r="F89" s="0" t="s">
        <v>31</v>
      </c>
    </row>
    <row r="90" customFormat="false" ht="15" hidden="false" customHeight="false" outlineLevel="0" collapsed="false">
      <c r="A90" s="0" t="s">
        <v>247</v>
      </c>
      <c r="B90" s="0" t="s">
        <v>152</v>
      </c>
      <c r="C90" s="0" t="s">
        <v>16</v>
      </c>
      <c r="D90" s="0" t="s">
        <v>59</v>
      </c>
      <c r="F90" s="0" t="s">
        <v>31</v>
      </c>
    </row>
    <row r="91" customFormat="false" ht="15" hidden="false" customHeight="false" outlineLevel="0" collapsed="false">
      <c r="A91" s="0" t="s">
        <v>249</v>
      </c>
      <c r="B91" s="0" t="s">
        <v>152</v>
      </c>
      <c r="C91" s="0" t="s">
        <v>16</v>
      </c>
      <c r="D91" s="0" t="s">
        <v>59</v>
      </c>
      <c r="F91" s="0" t="s">
        <v>31</v>
      </c>
    </row>
    <row r="92" customFormat="false" ht="15" hidden="false" customHeight="false" outlineLevel="0" collapsed="false">
      <c r="A92" s="0" t="s">
        <v>251</v>
      </c>
      <c r="B92" s="0" t="s">
        <v>152</v>
      </c>
      <c r="C92" s="0" t="s">
        <v>16</v>
      </c>
      <c r="D92" s="0" t="s">
        <v>59</v>
      </c>
      <c r="F92" s="0" t="s">
        <v>31</v>
      </c>
    </row>
    <row r="93" customFormat="false" ht="15" hidden="false" customHeight="false" outlineLevel="0" collapsed="false">
      <c r="A93" s="0" t="s">
        <v>254</v>
      </c>
      <c r="B93" s="0" t="s">
        <v>152</v>
      </c>
      <c r="C93" s="0" t="s">
        <v>16</v>
      </c>
      <c r="D93" s="0" t="s">
        <v>59</v>
      </c>
      <c r="F93" s="0" t="s">
        <v>31</v>
      </c>
    </row>
    <row r="94" customFormat="false" ht="15" hidden="false" customHeight="false" outlineLevel="0" collapsed="false">
      <c r="A94" s="0" t="s">
        <v>256</v>
      </c>
      <c r="B94" s="0" t="s">
        <v>152</v>
      </c>
      <c r="C94" s="0" t="s">
        <v>16</v>
      </c>
      <c r="D94" s="0" t="s">
        <v>59</v>
      </c>
      <c r="F94" s="0" t="s">
        <v>31</v>
      </c>
    </row>
    <row r="95" customFormat="false" ht="15" hidden="false" customHeight="false" outlineLevel="0" collapsed="false">
      <c r="A95" s="0" t="s">
        <v>258</v>
      </c>
      <c r="B95" s="0" t="s">
        <v>152</v>
      </c>
      <c r="C95" s="0" t="s">
        <v>16</v>
      </c>
      <c r="D95" s="0" t="s">
        <v>59</v>
      </c>
      <c r="F95" s="0" t="s">
        <v>31</v>
      </c>
    </row>
    <row r="96" customFormat="false" ht="15" hidden="false" customHeight="false" outlineLevel="0" collapsed="false">
      <c r="A96" s="0" t="s">
        <v>260</v>
      </c>
      <c r="B96" s="0" t="s">
        <v>152</v>
      </c>
      <c r="C96" s="0" t="s">
        <v>16</v>
      </c>
      <c r="D96" s="0" t="s">
        <v>59</v>
      </c>
      <c r="F96" s="0" t="s">
        <v>31</v>
      </c>
    </row>
    <row r="97" customFormat="false" ht="15" hidden="false" customHeight="false" outlineLevel="0" collapsed="false">
      <c r="A97" s="0" t="s">
        <v>263</v>
      </c>
      <c r="B97" s="0" t="s">
        <v>152</v>
      </c>
      <c r="C97" s="0" t="s">
        <v>16</v>
      </c>
      <c r="D97" s="0" t="s">
        <v>59</v>
      </c>
      <c r="F97" s="0" t="s">
        <v>31</v>
      </c>
    </row>
    <row r="98" customFormat="false" ht="15" hidden="false" customHeight="false" outlineLevel="0" collapsed="false">
      <c r="A98" s="0" t="s">
        <v>265</v>
      </c>
      <c r="B98" s="0" t="s">
        <v>152</v>
      </c>
      <c r="C98" s="0" t="s">
        <v>16</v>
      </c>
      <c r="D98" s="0" t="s">
        <v>59</v>
      </c>
      <c r="F98" s="0" t="s">
        <v>31</v>
      </c>
    </row>
    <row r="99" customFormat="false" ht="15" hidden="false" customHeight="false" outlineLevel="0" collapsed="false">
      <c r="A99" s="0" t="s">
        <v>267</v>
      </c>
      <c r="B99" s="0" t="s">
        <v>152</v>
      </c>
      <c r="C99" s="0" t="s">
        <v>16</v>
      </c>
      <c r="D99" s="0" t="s">
        <v>59</v>
      </c>
      <c r="F99" s="0" t="s">
        <v>31</v>
      </c>
    </row>
    <row r="100" customFormat="false" ht="15" hidden="false" customHeight="false" outlineLevel="0" collapsed="false">
      <c r="A100" s="0" t="s">
        <v>269</v>
      </c>
      <c r="B100" s="0" t="s">
        <v>152</v>
      </c>
      <c r="C100" s="0" t="s">
        <v>16</v>
      </c>
      <c r="D100" s="0" t="s">
        <v>59</v>
      </c>
      <c r="F100" s="0" t="s">
        <v>31</v>
      </c>
    </row>
    <row r="101" customFormat="false" ht="15" hidden="false" customHeight="false" outlineLevel="0" collapsed="false">
      <c r="A101" s="0" t="s">
        <v>272</v>
      </c>
      <c r="B101" s="0" t="s">
        <v>152</v>
      </c>
      <c r="C101" s="0" t="s">
        <v>16</v>
      </c>
      <c r="D101" s="0" t="s">
        <v>59</v>
      </c>
      <c r="F101" s="0" t="s">
        <v>31</v>
      </c>
    </row>
    <row r="102" customFormat="false" ht="15" hidden="false" customHeight="false" outlineLevel="0" collapsed="false">
      <c r="A102" s="0" t="s">
        <v>274</v>
      </c>
      <c r="B102" s="0" t="s">
        <v>152</v>
      </c>
      <c r="C102" s="0" t="s">
        <v>16</v>
      </c>
      <c r="D102" s="0" t="s">
        <v>59</v>
      </c>
      <c r="F102" s="0" t="s">
        <v>31</v>
      </c>
    </row>
    <row r="103" customFormat="false" ht="15" hidden="false" customHeight="false" outlineLevel="0" collapsed="false">
      <c r="A103" s="0" t="s">
        <v>276</v>
      </c>
      <c r="B103" s="0" t="s">
        <v>152</v>
      </c>
      <c r="C103" s="0" t="s">
        <v>16</v>
      </c>
      <c r="D103" s="0" t="s">
        <v>59</v>
      </c>
      <c r="F103" s="0" t="s">
        <v>31</v>
      </c>
    </row>
    <row r="104" customFormat="false" ht="15" hidden="false" customHeight="false" outlineLevel="0" collapsed="false">
      <c r="A104" s="0" t="s">
        <v>278</v>
      </c>
      <c r="B104" s="0" t="s">
        <v>152</v>
      </c>
      <c r="C104" s="0" t="s">
        <v>16</v>
      </c>
      <c r="D104" s="0" t="s">
        <v>59</v>
      </c>
      <c r="F104" s="0" t="s">
        <v>31</v>
      </c>
    </row>
    <row r="105" customFormat="false" ht="15" hidden="false" customHeight="false" outlineLevel="0" collapsed="false">
      <c r="A105" s="0" t="s">
        <v>281</v>
      </c>
      <c r="B105" s="0" t="s">
        <v>152</v>
      </c>
      <c r="C105" s="0" t="s">
        <v>16</v>
      </c>
      <c r="D105" s="0" t="s">
        <v>59</v>
      </c>
      <c r="F105" s="0" t="s">
        <v>31</v>
      </c>
    </row>
    <row r="106" customFormat="false" ht="15" hidden="false" customHeight="false" outlineLevel="0" collapsed="false">
      <c r="A106" s="0" t="s">
        <v>283</v>
      </c>
      <c r="B106" s="0" t="s">
        <v>152</v>
      </c>
      <c r="C106" s="0" t="s">
        <v>16</v>
      </c>
      <c r="D106" s="0" t="s">
        <v>59</v>
      </c>
      <c r="F106" s="0" t="s">
        <v>31</v>
      </c>
    </row>
    <row r="107" customFormat="false" ht="15" hidden="false" customHeight="false" outlineLevel="0" collapsed="false">
      <c r="A107" s="0" t="s">
        <v>285</v>
      </c>
      <c r="B107" s="0" t="s">
        <v>152</v>
      </c>
      <c r="C107" s="0" t="s">
        <v>16</v>
      </c>
      <c r="D107" s="0" t="s">
        <v>59</v>
      </c>
      <c r="F107" s="0" t="s">
        <v>31</v>
      </c>
    </row>
    <row r="108" customFormat="false" ht="15" hidden="false" customHeight="false" outlineLevel="0" collapsed="false">
      <c r="A108" s="0" t="s">
        <v>287</v>
      </c>
      <c r="B108" s="0" t="s">
        <v>152</v>
      </c>
      <c r="C108" s="0" t="s">
        <v>16</v>
      </c>
      <c r="D108" s="0" t="s">
        <v>59</v>
      </c>
      <c r="F108" s="0" t="s">
        <v>31</v>
      </c>
    </row>
    <row r="109" customFormat="false" ht="15" hidden="false" customHeight="false" outlineLevel="0" collapsed="false">
      <c r="A109" s="0" t="s">
        <v>290</v>
      </c>
      <c r="B109" s="0" t="s">
        <v>152</v>
      </c>
      <c r="C109" s="0" t="s">
        <v>16</v>
      </c>
      <c r="D109" s="0" t="s">
        <v>59</v>
      </c>
      <c r="F109" s="0" t="s">
        <v>31</v>
      </c>
    </row>
    <row r="110" customFormat="false" ht="15" hidden="false" customHeight="false" outlineLevel="0" collapsed="false">
      <c r="A110" s="0" t="s">
        <v>292</v>
      </c>
      <c r="B110" s="0" t="s">
        <v>152</v>
      </c>
      <c r="C110" s="0" t="s">
        <v>16</v>
      </c>
      <c r="D110" s="0" t="s">
        <v>59</v>
      </c>
      <c r="F110" s="0" t="s">
        <v>31</v>
      </c>
    </row>
    <row r="111" customFormat="false" ht="15" hidden="false" customHeight="false" outlineLevel="0" collapsed="false">
      <c r="A111" s="0" t="s">
        <v>294</v>
      </c>
      <c r="B111" s="0" t="s">
        <v>152</v>
      </c>
      <c r="C111" s="0" t="s">
        <v>16</v>
      </c>
      <c r="D111" s="0" t="s">
        <v>59</v>
      </c>
      <c r="F111" s="0" t="s">
        <v>31</v>
      </c>
    </row>
    <row r="112" customFormat="false" ht="15" hidden="false" customHeight="false" outlineLevel="0" collapsed="false">
      <c r="A112" s="0" t="s">
        <v>296</v>
      </c>
      <c r="B112" s="0" t="s">
        <v>152</v>
      </c>
      <c r="C112" s="0" t="s">
        <v>16</v>
      </c>
      <c r="D112" s="0" t="s">
        <v>59</v>
      </c>
      <c r="F112" s="0" t="s">
        <v>31</v>
      </c>
    </row>
    <row r="113" customFormat="false" ht="15" hidden="false" customHeight="false" outlineLevel="0" collapsed="false">
      <c r="A113" s="0" t="s">
        <v>299</v>
      </c>
      <c r="B113" s="0" t="s">
        <v>152</v>
      </c>
      <c r="C113" s="0" t="s">
        <v>16</v>
      </c>
      <c r="D113" s="0" t="s">
        <v>59</v>
      </c>
      <c r="F113" s="0" t="s">
        <v>31</v>
      </c>
    </row>
    <row r="114" customFormat="false" ht="15" hidden="false" customHeight="false" outlineLevel="0" collapsed="false">
      <c r="A114" s="0" t="s">
        <v>301</v>
      </c>
      <c r="B114" s="0" t="s">
        <v>152</v>
      </c>
      <c r="C114" s="0" t="s">
        <v>16</v>
      </c>
      <c r="D114" s="0" t="s">
        <v>59</v>
      </c>
      <c r="F114" s="0" t="s">
        <v>31</v>
      </c>
    </row>
    <row r="115" customFormat="false" ht="15" hidden="false" customHeight="false" outlineLevel="0" collapsed="false">
      <c r="A115" s="0" t="s">
        <v>303</v>
      </c>
      <c r="B115" s="0" t="s">
        <v>152</v>
      </c>
      <c r="C115" s="0" t="s">
        <v>16</v>
      </c>
      <c r="D115" s="0" t="s">
        <v>59</v>
      </c>
      <c r="F115" s="0" t="s">
        <v>31</v>
      </c>
    </row>
    <row r="116" customFormat="false" ht="15" hidden="false" customHeight="false" outlineLevel="0" collapsed="false">
      <c r="A116" s="0" t="s">
        <v>305</v>
      </c>
      <c r="B116" s="0" t="s">
        <v>152</v>
      </c>
      <c r="C116" s="0" t="s">
        <v>16</v>
      </c>
      <c r="D116" s="0" t="s">
        <v>102</v>
      </c>
      <c r="F116" s="0" t="s">
        <v>31</v>
      </c>
    </row>
    <row r="117" customFormat="false" ht="15" hidden="false" customHeight="false" outlineLevel="0" collapsed="false">
      <c r="A117" s="0" t="s">
        <v>308</v>
      </c>
      <c r="B117" s="0" t="s">
        <v>152</v>
      </c>
      <c r="C117" s="0" t="s">
        <v>16</v>
      </c>
      <c r="D117" s="0" t="s">
        <v>102</v>
      </c>
      <c r="F117" s="0" t="s">
        <v>31</v>
      </c>
    </row>
    <row r="118" customFormat="false" ht="15" hidden="false" customHeight="false" outlineLevel="0" collapsed="false">
      <c r="A118" s="0" t="s">
        <v>310</v>
      </c>
      <c r="B118" s="0" t="s">
        <v>152</v>
      </c>
      <c r="C118" s="0" t="s">
        <v>16</v>
      </c>
      <c r="D118" s="0" t="s">
        <v>102</v>
      </c>
      <c r="F118" s="0" t="s">
        <v>31</v>
      </c>
    </row>
    <row r="119" customFormat="false" ht="15" hidden="false" customHeight="false" outlineLevel="0" collapsed="false">
      <c r="A119" s="0" t="s">
        <v>312</v>
      </c>
      <c r="B119" s="0" t="s">
        <v>152</v>
      </c>
      <c r="C119" s="0" t="s">
        <v>16</v>
      </c>
      <c r="D119" s="0" t="s">
        <v>102</v>
      </c>
      <c r="F119" s="0" t="s">
        <v>31</v>
      </c>
    </row>
    <row r="120" customFormat="false" ht="15" hidden="false" customHeight="false" outlineLevel="0" collapsed="false">
      <c r="A120" s="0" t="s">
        <v>314</v>
      </c>
      <c r="B120" s="0" t="s">
        <v>152</v>
      </c>
      <c r="C120" s="0" t="s">
        <v>16</v>
      </c>
      <c r="D120" s="0" t="s">
        <v>102</v>
      </c>
      <c r="F120" s="0" t="s">
        <v>21</v>
      </c>
    </row>
    <row r="121" customFormat="false" ht="15" hidden="false" customHeight="false" outlineLevel="0" collapsed="false">
      <c r="A121" s="0" t="s">
        <v>317</v>
      </c>
      <c r="B121" s="0" t="s">
        <v>152</v>
      </c>
      <c r="C121" s="0" t="s">
        <v>16</v>
      </c>
      <c r="D121" s="0" t="s">
        <v>102</v>
      </c>
      <c r="F121" s="0" t="s">
        <v>21</v>
      </c>
    </row>
    <row r="122" customFormat="false" ht="15" hidden="false" customHeight="false" outlineLevel="0" collapsed="false">
      <c r="A122" s="0" t="s">
        <v>319</v>
      </c>
      <c r="B122" s="0" t="s">
        <v>152</v>
      </c>
      <c r="C122" s="0" t="s">
        <v>16</v>
      </c>
      <c r="D122" s="0" t="s">
        <v>102</v>
      </c>
      <c r="F122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2026-08-30T18:03:40Z</dcterms:created>
  <dc:creator>openpyxl</dc:creator>
  <dc:description/>
  <dc:language>en-US</dc:language>
  <cp:lastModifiedBy/>
  <dcterms:modified xsi:type="dcterms:W3CDTF">2026-08-30T18:03:41Z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